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3"/>
  <workbookPr filterPrivacy="1"/>
  <xr:revisionPtr revIDLastSave="0" documentId="13_ncr:1_{D3C5A460-EEA4-43F7-9E00-C7728565F41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" sheetId="5" r:id="rId1"/>
    <sheet name="Gastos" sheetId="3" r:id="rId2"/>
    <sheet name="Información general de Startup" sheetId="1" r:id="rId3"/>
    <sheet name="Beneficios y pérdidas" sheetId="4" r:id="rId4"/>
    <sheet name="amort" sheetId="6" r:id="rId5"/>
  </sheets>
  <definedNames>
    <definedName name="_xlnm.Print_Titles" localSheetId="1">Gastos!$1:$4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4" l="1"/>
  <c r="J29" i="4" s="1"/>
  <c r="K30" i="4" s="1"/>
  <c r="C31" i="4"/>
  <c r="F29" i="4" s="1"/>
  <c r="C8" i="4"/>
  <c r="C9" i="4" s="1"/>
  <c r="D18" i="3"/>
  <c r="B21" i="4"/>
  <c r="B20" i="4"/>
  <c r="B19" i="4"/>
  <c r="B18" i="4"/>
  <c r="C11" i="1"/>
  <c r="C10" i="1"/>
  <c r="C9" i="1"/>
  <c r="C8" i="1"/>
  <c r="C7" i="1"/>
  <c r="B17" i="4" s="1"/>
  <c r="C14" i="3"/>
  <c r="G30" i="4" l="1"/>
  <c r="F31" i="4"/>
  <c r="G31" i="4" s="1"/>
  <c r="J31" i="4"/>
  <c r="K31" i="4" s="1"/>
  <c r="B18" i="6"/>
  <c r="B19" i="6" l="1"/>
  <c r="C53" i="3"/>
  <c r="C38" i="3"/>
  <c r="C27" i="3"/>
  <c r="B3" i="4"/>
  <c r="B1" i="3"/>
  <c r="B1" i="1"/>
  <c r="D8" i="4"/>
  <c r="D9" i="4" s="1"/>
  <c r="E8" i="4"/>
  <c r="E9" i="4" s="1"/>
  <c r="F8" i="4"/>
  <c r="F9" i="4" s="1"/>
  <c r="G8" i="4"/>
  <c r="G9" i="4" s="1"/>
  <c r="H8" i="4"/>
  <c r="H9" i="4" s="1"/>
  <c r="I8" i="4"/>
  <c r="I9" i="4" s="1"/>
  <c r="J8" i="4"/>
  <c r="J9" i="4" s="1"/>
  <c r="K8" i="4"/>
  <c r="K9" i="4" s="1"/>
  <c r="L8" i="4"/>
  <c r="L9" i="4" s="1"/>
  <c r="M8" i="4"/>
  <c r="M9" i="4" s="1"/>
  <c r="N8" i="4"/>
  <c r="N9" i="4" s="1"/>
  <c r="B20" i="6" l="1"/>
  <c r="O13" i="4"/>
  <c r="O8" i="4"/>
  <c r="O9" i="4"/>
  <c r="B21" i="6" l="1"/>
  <c r="C5" i="4"/>
  <c r="C16" i="4" s="1"/>
  <c r="B22" i="6" l="1"/>
  <c r="O11" i="4"/>
  <c r="N12" i="4"/>
  <c r="N14" i="4" s="1"/>
  <c r="M12" i="4"/>
  <c r="M14" i="4" s="1"/>
  <c r="L12" i="4"/>
  <c r="L14" i="4" s="1"/>
  <c r="K12" i="4"/>
  <c r="K14" i="4" s="1"/>
  <c r="J12" i="4"/>
  <c r="J14" i="4" s="1"/>
  <c r="I12" i="4"/>
  <c r="I14" i="4" s="1"/>
  <c r="H12" i="4"/>
  <c r="H14" i="4" s="1"/>
  <c r="G12" i="4"/>
  <c r="G14" i="4" s="1"/>
  <c r="F12" i="4"/>
  <c r="F14" i="4" s="1"/>
  <c r="E12" i="4"/>
  <c r="E14" i="4" s="1"/>
  <c r="D12" i="4"/>
  <c r="D14" i="4" s="1"/>
  <c r="C12" i="4"/>
  <c r="D5" i="4"/>
  <c r="E5" i="4" s="1"/>
  <c r="F5" i="4" s="1"/>
  <c r="G5" i="4" s="1"/>
  <c r="H5" i="4" s="1"/>
  <c r="I5" i="4" s="1"/>
  <c r="J5" i="4" s="1"/>
  <c r="K5" i="4" s="1"/>
  <c r="L5" i="4" s="1"/>
  <c r="M5" i="4" s="1"/>
  <c r="N5" i="4" s="1"/>
  <c r="O10" i="4"/>
  <c r="D14" i="3"/>
  <c r="D53" i="3"/>
  <c r="D45" i="3"/>
  <c r="D38" i="3"/>
  <c r="E11" i="1" l="1"/>
  <c r="D11" i="1"/>
  <c r="C21" i="4"/>
  <c r="E10" i="1"/>
  <c r="E9" i="1"/>
  <c r="D9" i="1"/>
  <c r="E7" i="1"/>
  <c r="D7" i="1"/>
  <c r="B23" i="6"/>
  <c r="D20" i="4"/>
  <c r="D17" i="4"/>
  <c r="C17" i="4"/>
  <c r="D19" i="4"/>
  <c r="C19" i="4"/>
  <c r="O12" i="4"/>
  <c r="C14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D27" i="3"/>
  <c r="E8" i="1" s="1"/>
  <c r="D56" i="3" l="1"/>
  <c r="E5" i="1"/>
  <c r="D8" i="1"/>
  <c r="B24" i="6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C18" i="4"/>
  <c r="E17" i="4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E20" i="4"/>
  <c r="F20" i="4" s="1"/>
  <c r="G20" i="4" s="1"/>
  <c r="H20" i="4" s="1"/>
  <c r="I20" i="4" s="1"/>
  <c r="J20" i="4" s="1"/>
  <c r="K20" i="4" s="1"/>
  <c r="L20" i="4" s="1"/>
  <c r="M20" i="4" s="1"/>
  <c r="N20" i="4" s="1"/>
  <c r="E19" i="4"/>
  <c r="F19" i="4" s="1"/>
  <c r="G19" i="4" s="1"/>
  <c r="H19" i="4" s="1"/>
  <c r="I19" i="4" s="1"/>
  <c r="J19" i="4" s="1"/>
  <c r="K19" i="4" s="1"/>
  <c r="L19" i="4" s="1"/>
  <c r="M19" i="4" s="1"/>
  <c r="N19" i="4" s="1"/>
  <c r="O14" i="4"/>
  <c r="B25" i="6" l="1"/>
  <c r="D22" i="4"/>
  <c r="D23" i="4" s="1"/>
  <c r="O18" i="4"/>
  <c r="O19" i="4"/>
  <c r="O21" i="4"/>
  <c r="F17" i="4"/>
  <c r="E22" i="4"/>
  <c r="E23" i="4" s="1"/>
  <c r="D41" i="1"/>
  <c r="D29" i="1"/>
  <c r="B26" i="6" l="1"/>
  <c r="E24" i="4"/>
  <c r="E26" i="4" s="1"/>
  <c r="D24" i="4"/>
  <c r="D26" i="4" s="1"/>
  <c r="G17" i="4"/>
  <c r="F22" i="4"/>
  <c r="F23" i="4" s="1"/>
  <c r="B27" i="6" l="1"/>
  <c r="F24" i="4"/>
  <c r="F26" i="4" s="1"/>
  <c r="H17" i="4"/>
  <c r="G22" i="4"/>
  <c r="B28" i="6" l="1"/>
  <c r="I17" i="4"/>
  <c r="H22" i="4"/>
  <c r="H23" i="4" s="1"/>
  <c r="G23" i="4"/>
  <c r="G24" i="4" s="1"/>
  <c r="B29" i="6" l="1"/>
  <c r="H24" i="4"/>
  <c r="H26" i="4" s="1"/>
  <c r="J17" i="4"/>
  <c r="I22" i="4"/>
  <c r="B30" i="6" l="1"/>
  <c r="I23" i="4"/>
  <c r="I24" i="4" s="1"/>
  <c r="G26" i="4"/>
  <c r="K17" i="4"/>
  <c r="J22" i="4"/>
  <c r="J23" i="4" s="1"/>
  <c r="B31" i="6" l="1"/>
  <c r="J24" i="4"/>
  <c r="J26" i="4" s="1"/>
  <c r="L17" i="4"/>
  <c r="K22" i="4"/>
  <c r="K23" i="4" s="1"/>
  <c r="B32" i="6" l="1"/>
  <c r="K24" i="4"/>
  <c r="K26" i="4" s="1"/>
  <c r="M17" i="4"/>
  <c r="L22" i="4"/>
  <c r="L23" i="4" s="1"/>
  <c r="L24" i="4" s="1"/>
  <c r="I26" i="4"/>
  <c r="B33" i="6" l="1"/>
  <c r="N17" i="4"/>
  <c r="M22" i="4"/>
  <c r="M23" i="4" s="1"/>
  <c r="B34" i="6" l="1"/>
  <c r="M24" i="4"/>
  <c r="M26" i="4" s="1"/>
  <c r="N22" i="4"/>
  <c r="O17" i="4"/>
  <c r="L26" i="4"/>
  <c r="B35" i="6" l="1"/>
  <c r="N23" i="4"/>
  <c r="N24" i="4" s="1"/>
  <c r="B36" i="6" l="1"/>
  <c r="B37" i="6" l="1"/>
  <c r="N26" i="4"/>
  <c r="B38" i="6" l="1"/>
  <c r="B39" i="6" l="1"/>
  <c r="B40" i="6" l="1"/>
  <c r="B41" i="6" l="1"/>
  <c r="B42" i="6" l="1"/>
  <c r="B43" i="6" l="1"/>
  <c r="B44" i="6" l="1"/>
  <c r="B45" i="6" l="1"/>
  <c r="B46" i="6" l="1"/>
  <c r="B47" i="6" l="1"/>
  <c r="B48" i="6" l="1"/>
  <c r="B49" i="6" l="1"/>
  <c r="B50" i="6" l="1"/>
  <c r="B51" i="6" l="1"/>
  <c r="B52" i="6" l="1"/>
  <c r="B53" i="6" l="1"/>
  <c r="B54" i="6" l="1"/>
  <c r="B55" i="6" l="1"/>
  <c r="D54" i="6"/>
  <c r="E54" i="6"/>
  <c r="C54" i="6"/>
  <c r="B56" i="6" l="1"/>
  <c r="D55" i="6"/>
  <c r="E55" i="6"/>
  <c r="C55" i="6"/>
  <c r="B57" i="6" l="1"/>
  <c r="D56" i="6"/>
  <c r="E56" i="6"/>
  <c r="C56" i="6"/>
  <c r="B58" i="6" l="1"/>
  <c r="D57" i="6"/>
  <c r="E57" i="6"/>
  <c r="C57" i="6"/>
  <c r="B59" i="6" l="1"/>
  <c r="D58" i="6"/>
  <c r="E58" i="6"/>
  <c r="C58" i="6"/>
  <c r="B60" i="6" l="1"/>
  <c r="D59" i="6"/>
  <c r="E59" i="6"/>
  <c r="C59" i="6"/>
  <c r="B61" i="6" l="1"/>
  <c r="D60" i="6"/>
  <c r="E60" i="6"/>
  <c r="C60" i="6"/>
  <c r="B62" i="6" l="1"/>
  <c r="D61" i="6"/>
  <c r="E61" i="6"/>
  <c r="C61" i="6"/>
  <c r="B63" i="6" l="1"/>
  <c r="D62" i="6"/>
  <c r="E62" i="6"/>
  <c r="C62" i="6"/>
  <c r="B64" i="6" l="1"/>
  <c r="D63" i="6"/>
  <c r="E63" i="6"/>
  <c r="C63" i="6"/>
  <c r="B65" i="6" l="1"/>
  <c r="D64" i="6"/>
  <c r="E64" i="6"/>
  <c r="C64" i="6"/>
  <c r="B66" i="6" l="1"/>
  <c r="D65" i="6"/>
  <c r="E65" i="6"/>
  <c r="C65" i="6"/>
  <c r="B67" i="6" l="1"/>
  <c r="D66" i="6"/>
  <c r="E66" i="6"/>
  <c r="C66" i="6"/>
  <c r="B68" i="6" l="1"/>
  <c r="D67" i="6"/>
  <c r="E67" i="6"/>
  <c r="C67" i="6"/>
  <c r="B69" i="6" l="1"/>
  <c r="D68" i="6"/>
  <c r="E68" i="6"/>
  <c r="C68" i="6"/>
  <c r="B70" i="6" l="1"/>
  <c r="D69" i="6"/>
  <c r="E69" i="6"/>
  <c r="C69" i="6"/>
  <c r="B71" i="6" l="1"/>
  <c r="D70" i="6"/>
  <c r="E70" i="6"/>
  <c r="C70" i="6"/>
  <c r="B72" i="6" l="1"/>
  <c r="D71" i="6"/>
  <c r="E71" i="6"/>
  <c r="C71" i="6"/>
  <c r="B73" i="6" l="1"/>
  <c r="D72" i="6"/>
  <c r="E72" i="6"/>
  <c r="C72" i="6"/>
  <c r="B74" i="6" l="1"/>
  <c r="D73" i="6"/>
  <c r="E73" i="6"/>
  <c r="C73" i="6"/>
  <c r="B75" i="6" l="1"/>
  <c r="D74" i="6"/>
  <c r="E74" i="6"/>
  <c r="C74" i="6"/>
  <c r="B76" i="6" l="1"/>
  <c r="D75" i="6"/>
  <c r="E75" i="6"/>
  <c r="C75" i="6"/>
  <c r="B77" i="6" l="1"/>
  <c r="D76" i="6"/>
  <c r="E76" i="6"/>
  <c r="C76" i="6"/>
  <c r="B78" i="6" l="1"/>
  <c r="D77" i="6"/>
  <c r="E77" i="6"/>
  <c r="C77" i="6"/>
  <c r="B79" i="6" l="1"/>
  <c r="D78" i="6"/>
  <c r="E78" i="6"/>
  <c r="C78" i="6"/>
  <c r="B80" i="6" l="1"/>
  <c r="D79" i="6"/>
  <c r="E79" i="6"/>
  <c r="C79" i="6"/>
  <c r="B81" i="6" l="1"/>
  <c r="D80" i="6"/>
  <c r="E80" i="6"/>
  <c r="C80" i="6"/>
  <c r="B82" i="6" l="1"/>
  <c r="D81" i="6"/>
  <c r="E81" i="6"/>
  <c r="C81" i="6"/>
  <c r="B83" i="6" l="1"/>
  <c r="D82" i="6"/>
  <c r="E82" i="6"/>
  <c r="C82" i="6"/>
  <c r="B84" i="6" l="1"/>
  <c r="D83" i="6"/>
  <c r="E83" i="6"/>
  <c r="C83" i="6"/>
  <c r="B85" i="6" l="1"/>
  <c r="D84" i="6"/>
  <c r="E84" i="6"/>
  <c r="C84" i="6"/>
  <c r="B86" i="6" l="1"/>
  <c r="D85" i="6"/>
  <c r="E85" i="6"/>
  <c r="C85" i="6"/>
  <c r="B87" i="6" l="1"/>
  <c r="D86" i="6"/>
  <c r="E86" i="6"/>
  <c r="C86" i="6"/>
  <c r="B88" i="6" l="1"/>
  <c r="D87" i="6"/>
  <c r="E87" i="6"/>
  <c r="C87" i="6"/>
  <c r="B89" i="6" l="1"/>
  <c r="D88" i="6"/>
  <c r="E88" i="6"/>
  <c r="C88" i="6"/>
  <c r="B90" i="6" l="1"/>
  <c r="D89" i="6"/>
  <c r="E89" i="6"/>
  <c r="C89" i="6"/>
  <c r="B91" i="6" l="1"/>
  <c r="D90" i="6"/>
  <c r="E90" i="6"/>
  <c r="C90" i="6"/>
  <c r="B92" i="6" l="1"/>
  <c r="D91" i="6"/>
  <c r="E91" i="6"/>
  <c r="C91" i="6"/>
  <c r="B93" i="6" l="1"/>
  <c r="D92" i="6"/>
  <c r="E92" i="6"/>
  <c r="C92" i="6"/>
  <c r="B94" i="6" l="1"/>
  <c r="D93" i="6"/>
  <c r="E93" i="6"/>
  <c r="C93" i="6"/>
  <c r="B95" i="6" l="1"/>
  <c r="D94" i="6"/>
  <c r="E94" i="6"/>
  <c r="C94" i="6"/>
  <c r="B96" i="6" l="1"/>
  <c r="D95" i="6"/>
  <c r="E95" i="6"/>
  <c r="C95" i="6"/>
  <c r="B97" i="6" l="1"/>
  <c r="D96" i="6"/>
  <c r="E96" i="6"/>
  <c r="C96" i="6"/>
  <c r="B98" i="6" l="1"/>
  <c r="D97" i="6"/>
  <c r="E97" i="6"/>
  <c r="C97" i="6"/>
  <c r="B99" i="6" l="1"/>
  <c r="D98" i="6"/>
  <c r="E98" i="6"/>
  <c r="C98" i="6"/>
  <c r="B100" i="6" l="1"/>
  <c r="D99" i="6"/>
  <c r="E99" i="6"/>
  <c r="C99" i="6"/>
  <c r="B101" i="6" l="1"/>
  <c r="D100" i="6"/>
  <c r="E100" i="6"/>
  <c r="C100" i="6"/>
  <c r="B102" i="6" l="1"/>
  <c r="D101" i="6"/>
  <c r="C101" i="6"/>
  <c r="E101" i="6"/>
  <c r="B103" i="6" l="1"/>
  <c r="D102" i="6"/>
  <c r="C102" i="6"/>
  <c r="E102" i="6"/>
  <c r="B104" i="6" l="1"/>
  <c r="D103" i="6"/>
  <c r="C103" i="6"/>
  <c r="E103" i="6"/>
  <c r="B105" i="6" l="1"/>
  <c r="D104" i="6"/>
  <c r="C104" i="6"/>
  <c r="E104" i="6"/>
  <c r="B106" i="6" l="1"/>
  <c r="D105" i="6"/>
  <c r="C105" i="6"/>
  <c r="E105" i="6"/>
  <c r="B107" i="6" l="1"/>
  <c r="D106" i="6"/>
  <c r="C106" i="6"/>
  <c r="E106" i="6"/>
  <c r="B108" i="6" l="1"/>
  <c r="D107" i="6"/>
  <c r="C107" i="6"/>
  <c r="E107" i="6"/>
  <c r="B109" i="6" l="1"/>
  <c r="D108" i="6"/>
  <c r="C108" i="6"/>
  <c r="E108" i="6"/>
  <c r="B110" i="6" l="1"/>
  <c r="D109" i="6"/>
  <c r="C109" i="6"/>
  <c r="E109" i="6"/>
  <c r="B111" i="6" l="1"/>
  <c r="D110" i="6"/>
  <c r="C110" i="6"/>
  <c r="E110" i="6"/>
  <c r="B112" i="6" l="1"/>
  <c r="D111" i="6"/>
  <c r="C111" i="6"/>
  <c r="E111" i="6"/>
  <c r="B113" i="6" l="1"/>
  <c r="D112" i="6"/>
  <c r="C112" i="6"/>
  <c r="E112" i="6"/>
  <c r="B114" i="6" l="1"/>
  <c r="D113" i="6"/>
  <c r="C113" i="6"/>
  <c r="E113" i="6"/>
  <c r="B115" i="6" l="1"/>
  <c r="D114" i="6"/>
  <c r="C114" i="6"/>
  <c r="E114" i="6"/>
  <c r="B116" i="6" l="1"/>
  <c r="D115" i="6"/>
  <c r="C115" i="6"/>
  <c r="E115" i="6"/>
  <c r="B117" i="6" l="1"/>
  <c r="D116" i="6"/>
  <c r="C116" i="6"/>
  <c r="E116" i="6"/>
  <c r="B118" i="6" l="1"/>
  <c r="D117" i="6"/>
  <c r="C117" i="6"/>
  <c r="E117" i="6"/>
  <c r="B119" i="6" l="1"/>
  <c r="D118" i="6"/>
  <c r="C118" i="6"/>
  <c r="E118" i="6"/>
  <c r="B120" i="6" l="1"/>
  <c r="D119" i="6"/>
  <c r="C119" i="6"/>
  <c r="E119" i="6"/>
  <c r="B121" i="6" l="1"/>
  <c r="D120" i="6"/>
  <c r="C120" i="6"/>
  <c r="E120" i="6"/>
  <c r="B122" i="6" l="1"/>
  <c r="D121" i="6"/>
  <c r="C121" i="6"/>
  <c r="E121" i="6"/>
  <c r="B123" i="6" l="1"/>
  <c r="D122" i="6"/>
  <c r="C122" i="6"/>
  <c r="E122" i="6"/>
  <c r="B124" i="6" l="1"/>
  <c r="D123" i="6"/>
  <c r="C123" i="6"/>
  <c r="E123" i="6"/>
  <c r="B125" i="6" l="1"/>
  <c r="D124" i="6"/>
  <c r="C124" i="6"/>
  <c r="E124" i="6"/>
  <c r="B126" i="6" l="1"/>
  <c r="D125" i="6"/>
  <c r="C125" i="6"/>
  <c r="E125" i="6"/>
  <c r="B127" i="6" l="1"/>
  <c r="D126" i="6"/>
  <c r="C126" i="6"/>
  <c r="E126" i="6"/>
  <c r="F126" i="6" s="1"/>
  <c r="G126" i="6" s="1"/>
  <c r="H126" i="6" s="1"/>
  <c r="I126" i="6" s="1"/>
  <c r="B128" i="6" l="1"/>
  <c r="D127" i="6"/>
  <c r="C127" i="6"/>
  <c r="E127" i="6"/>
  <c r="F127" i="6" s="1"/>
  <c r="G127" i="6" s="1"/>
  <c r="H127" i="6" s="1"/>
  <c r="I127" i="6" s="1"/>
  <c r="B129" i="6" l="1"/>
  <c r="D128" i="6"/>
  <c r="C128" i="6"/>
  <c r="E128" i="6"/>
  <c r="F128" i="6" s="1"/>
  <c r="G128" i="6" s="1"/>
  <c r="H128" i="6" s="1"/>
  <c r="I128" i="6" s="1"/>
  <c r="B130" i="6" l="1"/>
  <c r="D129" i="6"/>
  <c r="C129" i="6"/>
  <c r="E129" i="6"/>
  <c r="F129" i="6" s="1"/>
  <c r="G129" i="6" s="1"/>
  <c r="H129" i="6" s="1"/>
  <c r="I129" i="6" s="1"/>
  <c r="B131" i="6" l="1"/>
  <c r="D130" i="6"/>
  <c r="C130" i="6"/>
  <c r="E130" i="6"/>
  <c r="F130" i="6" s="1"/>
  <c r="G130" i="6" s="1"/>
  <c r="H130" i="6" s="1"/>
  <c r="I130" i="6" s="1"/>
  <c r="B132" i="6" l="1"/>
  <c r="D131" i="6"/>
  <c r="C131" i="6"/>
  <c r="E131" i="6"/>
  <c r="F131" i="6" s="1"/>
  <c r="G131" i="6" s="1"/>
  <c r="H131" i="6" s="1"/>
  <c r="I131" i="6" s="1"/>
  <c r="D132" i="6" l="1"/>
  <c r="C132" i="6"/>
  <c r="B133" i="6"/>
  <c r="E132" i="6"/>
  <c r="F132" i="6" s="1"/>
  <c r="G132" i="6" s="1"/>
  <c r="H132" i="6" s="1"/>
  <c r="I132" i="6" s="1"/>
  <c r="E133" i="6" l="1"/>
  <c r="F133" i="6" s="1"/>
  <c r="G133" i="6" s="1"/>
  <c r="H133" i="6" s="1"/>
  <c r="I133" i="6" s="1"/>
  <c r="C133" i="6"/>
  <c r="D133" i="6"/>
  <c r="B134" i="6"/>
  <c r="E134" i="6" l="1"/>
  <c r="F134" i="6" s="1"/>
  <c r="G134" i="6" s="1"/>
  <c r="H134" i="6" s="1"/>
  <c r="I134" i="6" s="1"/>
  <c r="C134" i="6"/>
  <c r="D134" i="6"/>
  <c r="B135" i="6"/>
  <c r="E135" i="6" l="1"/>
  <c r="F135" i="6" s="1"/>
  <c r="G135" i="6" s="1"/>
  <c r="H135" i="6" s="1"/>
  <c r="I135" i="6" s="1"/>
  <c r="C135" i="6"/>
  <c r="D135" i="6"/>
  <c r="B136" i="6"/>
  <c r="E136" i="6" l="1"/>
  <c r="F136" i="6" s="1"/>
  <c r="G136" i="6" s="1"/>
  <c r="H136" i="6" s="1"/>
  <c r="I136" i="6" s="1"/>
  <c r="C136" i="6"/>
  <c r="D136" i="6"/>
  <c r="B137" i="6"/>
  <c r="E137" i="6" l="1"/>
  <c r="F137" i="6" s="1"/>
  <c r="G137" i="6" s="1"/>
  <c r="H137" i="6" s="1"/>
  <c r="I137" i="6" s="1"/>
  <c r="C137" i="6"/>
  <c r="D137" i="6"/>
  <c r="B138" i="6"/>
  <c r="E138" i="6" l="1"/>
  <c r="F138" i="6" s="1"/>
  <c r="G138" i="6" s="1"/>
  <c r="H138" i="6" s="1"/>
  <c r="I138" i="6" s="1"/>
  <c r="C138" i="6"/>
  <c r="D138" i="6"/>
  <c r="B139" i="6"/>
  <c r="E139" i="6" l="1"/>
  <c r="F139" i="6" s="1"/>
  <c r="G139" i="6" s="1"/>
  <c r="H139" i="6" s="1"/>
  <c r="I139" i="6" s="1"/>
  <c r="C139" i="6"/>
  <c r="D139" i="6"/>
  <c r="B140" i="6"/>
  <c r="E140" i="6" l="1"/>
  <c r="F140" i="6" s="1"/>
  <c r="G140" i="6" s="1"/>
  <c r="H140" i="6" s="1"/>
  <c r="I140" i="6" s="1"/>
  <c r="C140" i="6"/>
  <c r="D140" i="6"/>
  <c r="B141" i="6"/>
  <c r="E141" i="6" l="1"/>
  <c r="F141" i="6" s="1"/>
  <c r="G141" i="6" s="1"/>
  <c r="H141" i="6" s="1"/>
  <c r="I141" i="6" s="1"/>
  <c r="C141" i="6"/>
  <c r="D141" i="6"/>
  <c r="B142" i="6"/>
  <c r="E142" i="6" l="1"/>
  <c r="F142" i="6" s="1"/>
  <c r="G142" i="6" s="1"/>
  <c r="H142" i="6" s="1"/>
  <c r="I142" i="6" s="1"/>
  <c r="C142" i="6"/>
  <c r="D142" i="6"/>
  <c r="B143" i="6"/>
  <c r="E143" i="6" l="1"/>
  <c r="F143" i="6" s="1"/>
  <c r="G143" i="6" s="1"/>
  <c r="H143" i="6" s="1"/>
  <c r="I143" i="6" s="1"/>
  <c r="C143" i="6"/>
  <c r="D143" i="6"/>
  <c r="B144" i="6"/>
  <c r="E144" i="6" l="1"/>
  <c r="F144" i="6" s="1"/>
  <c r="G144" i="6" s="1"/>
  <c r="H144" i="6" s="1"/>
  <c r="I144" i="6" s="1"/>
  <c r="C144" i="6"/>
  <c r="D144" i="6"/>
  <c r="B145" i="6"/>
  <c r="E145" i="6" l="1"/>
  <c r="F145" i="6" s="1"/>
  <c r="G145" i="6" s="1"/>
  <c r="H145" i="6" s="1"/>
  <c r="I145" i="6" s="1"/>
  <c r="C145" i="6"/>
  <c r="D145" i="6"/>
  <c r="B146" i="6"/>
  <c r="E146" i="6" l="1"/>
  <c r="F146" i="6" s="1"/>
  <c r="G146" i="6" s="1"/>
  <c r="H146" i="6" s="1"/>
  <c r="I146" i="6" s="1"/>
  <c r="C146" i="6"/>
  <c r="D146" i="6"/>
  <c r="B147" i="6"/>
  <c r="E147" i="6" l="1"/>
  <c r="F147" i="6" s="1"/>
  <c r="G147" i="6" s="1"/>
  <c r="H147" i="6" s="1"/>
  <c r="I147" i="6" s="1"/>
  <c r="C147" i="6"/>
  <c r="D147" i="6"/>
  <c r="B148" i="6"/>
  <c r="E148" i="6" l="1"/>
  <c r="F148" i="6" s="1"/>
  <c r="G148" i="6" s="1"/>
  <c r="H148" i="6" s="1"/>
  <c r="I148" i="6" s="1"/>
  <c r="C148" i="6"/>
  <c r="D148" i="6"/>
  <c r="B149" i="6"/>
  <c r="E149" i="6" l="1"/>
  <c r="F149" i="6" s="1"/>
  <c r="G149" i="6" s="1"/>
  <c r="H149" i="6" s="1"/>
  <c r="I149" i="6" s="1"/>
  <c r="C149" i="6"/>
  <c r="D149" i="6"/>
  <c r="B150" i="6"/>
  <c r="E150" i="6" l="1"/>
  <c r="F150" i="6" s="1"/>
  <c r="G150" i="6" s="1"/>
  <c r="H150" i="6" s="1"/>
  <c r="I150" i="6" s="1"/>
  <c r="C150" i="6"/>
  <c r="D150" i="6"/>
  <c r="B151" i="6"/>
  <c r="E151" i="6" l="1"/>
  <c r="F151" i="6" s="1"/>
  <c r="G151" i="6" s="1"/>
  <c r="H151" i="6" s="1"/>
  <c r="I151" i="6" s="1"/>
  <c r="C151" i="6"/>
  <c r="D151" i="6"/>
  <c r="B152" i="6"/>
  <c r="E152" i="6" l="1"/>
  <c r="F152" i="6" s="1"/>
  <c r="G152" i="6" s="1"/>
  <c r="H152" i="6" s="1"/>
  <c r="I152" i="6" s="1"/>
  <c r="C152" i="6"/>
  <c r="D152" i="6"/>
  <c r="B153" i="6"/>
  <c r="E153" i="6" l="1"/>
  <c r="F153" i="6" s="1"/>
  <c r="G153" i="6" s="1"/>
  <c r="H153" i="6" s="1"/>
  <c r="I153" i="6" s="1"/>
  <c r="C153" i="6"/>
  <c r="D153" i="6"/>
  <c r="C45" i="3" l="1"/>
  <c r="C20" i="4" s="1"/>
  <c r="C22" i="4" l="1"/>
  <c r="O20" i="4"/>
  <c r="D55" i="3"/>
  <c r="D10" i="1"/>
  <c r="D5" i="1" s="1"/>
  <c r="D33" i="1" l="1"/>
  <c r="D19" i="1"/>
  <c r="D43" i="1" s="1"/>
  <c r="B3" i="6" s="1"/>
  <c r="D13" i="1"/>
  <c r="C23" i="4"/>
  <c r="O22" i="4"/>
  <c r="C24" i="4" l="1"/>
  <c r="O24" i="4" s="1"/>
  <c r="O23" i="4"/>
  <c r="C26" i="4" l="1"/>
  <c r="O26" i="4" s="1"/>
  <c r="D36" i="1" l="1"/>
  <c r="C40" i="6" l="1"/>
  <c r="C38" i="6"/>
  <c r="C37" i="6"/>
  <c r="C36" i="6"/>
  <c r="C34" i="6"/>
  <c r="C32" i="6"/>
  <c r="C30" i="6"/>
  <c r="C28" i="6"/>
  <c r="C26" i="6"/>
  <c r="C25" i="6"/>
  <c r="C24" i="6"/>
  <c r="C22" i="6"/>
  <c r="C20" i="6"/>
  <c r="C41" i="6"/>
  <c r="C39" i="6"/>
  <c r="C35" i="6"/>
  <c r="C33" i="6"/>
  <c r="C31" i="6"/>
  <c r="C29" i="6"/>
  <c r="C27" i="6"/>
  <c r="C23" i="6"/>
  <c r="C21" i="6"/>
  <c r="C48" i="6"/>
  <c r="D47" i="6"/>
  <c r="C53" i="6"/>
  <c r="E52" i="6"/>
  <c r="E47" i="6"/>
  <c r="E51" i="6"/>
  <c r="C49" i="6"/>
  <c r="E43" i="6"/>
  <c r="D49" i="6"/>
  <c r="E48" i="6"/>
  <c r="D44" i="6"/>
  <c r="C45" i="6"/>
  <c r="D52" i="6"/>
  <c r="E45" i="6"/>
  <c r="C51" i="6"/>
  <c r="E53" i="6"/>
  <c r="D45" i="6"/>
  <c r="C18" i="6"/>
  <c r="C19" i="6"/>
  <c r="C44" i="6"/>
  <c r="C50" i="6"/>
  <c r="E44" i="6"/>
  <c r="C42" i="6"/>
  <c r="D50" i="6"/>
  <c r="C46" i="6"/>
  <c r="C43" i="6"/>
  <c r="C47" i="6"/>
  <c r="D46" i="6"/>
  <c r="D51" i="6"/>
  <c r="F7" i="6"/>
  <c r="F8" i="6" s="1"/>
  <c r="E46" i="6"/>
  <c r="D53" i="6"/>
  <c r="D42" i="6"/>
  <c r="E49" i="6"/>
  <c r="C52" i="6"/>
  <c r="D48" i="6"/>
  <c r="E42" i="6"/>
  <c r="D43" i="6"/>
  <c r="E50" i="6"/>
  <c r="G17" i="6"/>
  <c r="D18" i="6" l="1"/>
  <c r="E18" i="6" s="1"/>
  <c r="F18" i="6" l="1"/>
  <c r="G18" i="6" s="1"/>
  <c r="H18" i="6" l="1"/>
  <c r="I18" i="6" s="1"/>
  <c r="D19" i="6"/>
  <c r="E19" i="6" s="1"/>
  <c r="F19" i="6" l="1"/>
  <c r="G19" i="6" s="1"/>
  <c r="H19" i="6" l="1"/>
  <c r="I19" i="6" s="1"/>
  <c r="D20" i="6"/>
  <c r="E20" i="6" s="1"/>
  <c r="F20" i="6" l="1"/>
  <c r="G20" i="6" s="1"/>
  <c r="D21" i="6" l="1"/>
  <c r="E21" i="6" s="1"/>
  <c r="H20" i="6"/>
  <c r="I20" i="6" s="1"/>
  <c r="F21" i="6" l="1"/>
  <c r="G21" i="6" s="1"/>
  <c r="H21" i="6" l="1"/>
  <c r="I21" i="6" s="1"/>
  <c r="D22" i="6"/>
  <c r="E22" i="6" s="1"/>
  <c r="F22" i="6" l="1"/>
  <c r="G22" i="6" s="1"/>
  <c r="H22" i="6" l="1"/>
  <c r="I22" i="6" s="1"/>
  <c r="D23" i="6"/>
  <c r="E23" i="6" s="1"/>
  <c r="F23" i="6" s="1"/>
  <c r="G23" i="6" s="1"/>
  <c r="H23" i="6" l="1"/>
  <c r="I23" i="6" s="1"/>
  <c r="D24" i="6"/>
  <c r="E24" i="6" s="1"/>
  <c r="F24" i="6" s="1"/>
  <c r="G24" i="6" s="1"/>
  <c r="D25" i="6" l="1"/>
  <c r="E25" i="6" s="1"/>
  <c r="F25" i="6" s="1"/>
  <c r="G25" i="6" s="1"/>
  <c r="H24" i="6"/>
  <c r="I24" i="6" s="1"/>
  <c r="D26" i="6" l="1"/>
  <c r="E26" i="6" s="1"/>
  <c r="F26" i="6" s="1"/>
  <c r="G26" i="6" s="1"/>
  <c r="H25" i="6"/>
  <c r="I25" i="6" s="1"/>
  <c r="D27" i="6" l="1"/>
  <c r="E27" i="6" s="1"/>
  <c r="F27" i="6" s="1"/>
  <c r="G27" i="6" s="1"/>
  <c r="H26" i="6"/>
  <c r="I26" i="6" s="1"/>
  <c r="H27" i="6" l="1"/>
  <c r="I27" i="6" s="1"/>
  <c r="D28" i="6"/>
  <c r="E28" i="6" s="1"/>
  <c r="F28" i="6" s="1"/>
  <c r="G28" i="6" s="1"/>
  <c r="H28" i="6" l="1"/>
  <c r="I28" i="6" s="1"/>
  <c r="D29" i="6"/>
  <c r="E29" i="6" s="1"/>
  <c r="F29" i="6" s="1"/>
  <c r="G29" i="6" s="1"/>
  <c r="H29" i="6" l="1"/>
  <c r="I29" i="6" s="1"/>
  <c r="D30" i="6"/>
  <c r="E30" i="6" s="1"/>
  <c r="F30" i="6" s="1"/>
  <c r="G30" i="6" s="1"/>
  <c r="H30" i="6" l="1"/>
  <c r="I30" i="6" s="1"/>
  <c r="D31" i="6"/>
  <c r="E31" i="6" s="1"/>
  <c r="F31" i="6" s="1"/>
  <c r="G31" i="6" s="1"/>
  <c r="H31" i="6" l="1"/>
  <c r="I31" i="6" s="1"/>
  <c r="D32" i="6"/>
  <c r="E32" i="6" s="1"/>
  <c r="F32" i="6" s="1"/>
  <c r="G32" i="6" s="1"/>
  <c r="H32" i="6" l="1"/>
  <c r="I32" i="6" s="1"/>
  <c r="D33" i="6"/>
  <c r="E33" i="6" s="1"/>
  <c r="F33" i="6" s="1"/>
  <c r="G33" i="6" s="1"/>
  <c r="H33" i="6" l="1"/>
  <c r="I33" i="6" s="1"/>
  <c r="D34" i="6"/>
  <c r="E34" i="6" s="1"/>
  <c r="F34" i="6" s="1"/>
  <c r="G34" i="6" s="1"/>
  <c r="D35" i="6" l="1"/>
  <c r="E35" i="6" s="1"/>
  <c r="F35" i="6" s="1"/>
  <c r="G35" i="6" s="1"/>
  <c r="H34" i="6"/>
  <c r="I34" i="6" s="1"/>
  <c r="H35" i="6" l="1"/>
  <c r="I35" i="6" s="1"/>
  <c r="D36" i="6"/>
  <c r="E36" i="6" s="1"/>
  <c r="F36" i="6" s="1"/>
  <c r="G36" i="6" s="1"/>
  <c r="D37" i="6" l="1"/>
  <c r="E37" i="6" s="1"/>
  <c r="F37" i="6" s="1"/>
  <c r="G37" i="6" s="1"/>
  <c r="H36" i="6"/>
  <c r="I36" i="6" s="1"/>
  <c r="H37" i="6" l="1"/>
  <c r="I37" i="6" s="1"/>
  <c r="D38" i="6"/>
  <c r="E38" i="6" s="1"/>
  <c r="F38" i="6" s="1"/>
  <c r="G38" i="6" s="1"/>
  <c r="H38" i="6" l="1"/>
  <c r="I38" i="6" s="1"/>
  <c r="D39" i="6"/>
  <c r="E39" i="6" s="1"/>
  <c r="F39" i="6" s="1"/>
  <c r="G39" i="6" s="1"/>
  <c r="H39" i="6" l="1"/>
  <c r="I39" i="6" s="1"/>
  <c r="D40" i="6"/>
  <c r="E40" i="6" s="1"/>
  <c r="F40" i="6" s="1"/>
  <c r="G40" i="6" s="1"/>
  <c r="D41" i="6" l="1"/>
  <c r="E41" i="6" s="1"/>
  <c r="H40" i="6"/>
  <c r="I40" i="6" s="1"/>
  <c r="F54" i="6" l="1"/>
  <c r="G54" i="6" s="1"/>
  <c r="H54" i="6" s="1"/>
  <c r="I54" i="6" s="1"/>
  <c r="F70" i="6"/>
  <c r="G70" i="6" s="1"/>
  <c r="H70" i="6" s="1"/>
  <c r="I70" i="6" s="1"/>
  <c r="F86" i="6"/>
  <c r="G86" i="6" s="1"/>
  <c r="H86" i="6" s="1"/>
  <c r="I86" i="6" s="1"/>
  <c r="F102" i="6"/>
  <c r="G102" i="6" s="1"/>
  <c r="H102" i="6" s="1"/>
  <c r="I102" i="6" s="1"/>
  <c r="F118" i="6"/>
  <c r="G118" i="6" s="1"/>
  <c r="H118" i="6" s="1"/>
  <c r="I118" i="6" s="1"/>
  <c r="F63" i="6"/>
  <c r="G63" i="6" s="1"/>
  <c r="H63" i="6" s="1"/>
  <c r="I63" i="6" s="1"/>
  <c r="F79" i="6"/>
  <c r="G79" i="6" s="1"/>
  <c r="H79" i="6" s="1"/>
  <c r="I79" i="6" s="1"/>
  <c r="F95" i="6"/>
  <c r="G95" i="6" s="1"/>
  <c r="H95" i="6" s="1"/>
  <c r="I95" i="6" s="1"/>
  <c r="F111" i="6"/>
  <c r="G111" i="6" s="1"/>
  <c r="H111" i="6" s="1"/>
  <c r="I111" i="6" s="1"/>
  <c r="F56" i="6"/>
  <c r="G56" i="6" s="1"/>
  <c r="H56" i="6" s="1"/>
  <c r="I56" i="6" s="1"/>
  <c r="F72" i="6"/>
  <c r="G72" i="6" s="1"/>
  <c r="H72" i="6" s="1"/>
  <c r="I72" i="6" s="1"/>
  <c r="F88" i="6"/>
  <c r="G88" i="6" s="1"/>
  <c r="H88" i="6" s="1"/>
  <c r="I88" i="6" s="1"/>
  <c r="F104" i="6"/>
  <c r="G104" i="6" s="1"/>
  <c r="H104" i="6" s="1"/>
  <c r="I104" i="6" s="1"/>
  <c r="F120" i="6"/>
  <c r="G120" i="6" s="1"/>
  <c r="H120" i="6" s="1"/>
  <c r="I120" i="6" s="1"/>
  <c r="F65" i="6"/>
  <c r="G65" i="6" s="1"/>
  <c r="H65" i="6" s="1"/>
  <c r="I65" i="6" s="1"/>
  <c r="F81" i="6"/>
  <c r="G81" i="6" s="1"/>
  <c r="H81" i="6" s="1"/>
  <c r="I81" i="6" s="1"/>
  <c r="F97" i="6"/>
  <c r="G97" i="6" s="1"/>
  <c r="H97" i="6" s="1"/>
  <c r="I97" i="6" s="1"/>
  <c r="F113" i="6"/>
  <c r="G113" i="6" s="1"/>
  <c r="H113" i="6" s="1"/>
  <c r="I113" i="6" s="1"/>
  <c r="F58" i="6"/>
  <c r="G58" i="6" s="1"/>
  <c r="H58" i="6" s="1"/>
  <c r="I58" i="6" s="1"/>
  <c r="F74" i="6"/>
  <c r="G74" i="6" s="1"/>
  <c r="H74" i="6" s="1"/>
  <c r="I74" i="6" s="1"/>
  <c r="F90" i="6"/>
  <c r="G90" i="6" s="1"/>
  <c r="H90" i="6" s="1"/>
  <c r="I90" i="6" s="1"/>
  <c r="F106" i="6"/>
  <c r="G106" i="6" s="1"/>
  <c r="H106" i="6" s="1"/>
  <c r="I106" i="6" s="1"/>
  <c r="F122" i="6"/>
  <c r="G122" i="6" s="1"/>
  <c r="H122" i="6" s="1"/>
  <c r="I122" i="6" s="1"/>
  <c r="F67" i="6"/>
  <c r="G67" i="6" s="1"/>
  <c r="H67" i="6" s="1"/>
  <c r="I67" i="6" s="1"/>
  <c r="F83" i="6"/>
  <c r="G83" i="6" s="1"/>
  <c r="H83" i="6" s="1"/>
  <c r="I83" i="6" s="1"/>
  <c r="F99" i="6"/>
  <c r="G99" i="6" s="1"/>
  <c r="H99" i="6" s="1"/>
  <c r="I99" i="6" s="1"/>
  <c r="F115" i="6"/>
  <c r="G115" i="6" s="1"/>
  <c r="H115" i="6" s="1"/>
  <c r="I115" i="6" s="1"/>
  <c r="F60" i="6"/>
  <c r="G60" i="6" s="1"/>
  <c r="H60" i="6" s="1"/>
  <c r="I60" i="6" s="1"/>
  <c r="F76" i="6"/>
  <c r="G76" i="6" s="1"/>
  <c r="H76" i="6" s="1"/>
  <c r="I76" i="6" s="1"/>
  <c r="F92" i="6"/>
  <c r="G92" i="6" s="1"/>
  <c r="H92" i="6" s="1"/>
  <c r="I92" i="6" s="1"/>
  <c r="F108" i="6"/>
  <c r="G108" i="6" s="1"/>
  <c r="H108" i="6" s="1"/>
  <c r="I108" i="6" s="1"/>
  <c r="F124" i="6"/>
  <c r="G124" i="6" s="1"/>
  <c r="H124" i="6" s="1"/>
  <c r="I124" i="6" s="1"/>
  <c r="F69" i="6"/>
  <c r="G69" i="6" s="1"/>
  <c r="H69" i="6" s="1"/>
  <c r="I69" i="6" s="1"/>
  <c r="F85" i="6"/>
  <c r="G85" i="6" s="1"/>
  <c r="H85" i="6" s="1"/>
  <c r="I85" i="6" s="1"/>
  <c r="F101" i="6"/>
  <c r="G101" i="6" s="1"/>
  <c r="H101" i="6" s="1"/>
  <c r="I101" i="6" s="1"/>
  <c r="F117" i="6"/>
  <c r="G117" i="6" s="1"/>
  <c r="H117" i="6" s="1"/>
  <c r="I117" i="6" s="1"/>
  <c r="F62" i="6"/>
  <c r="G62" i="6" s="1"/>
  <c r="H62" i="6" s="1"/>
  <c r="I62" i="6" s="1"/>
  <c r="F78" i="6"/>
  <c r="G78" i="6" s="1"/>
  <c r="H78" i="6" s="1"/>
  <c r="I78" i="6" s="1"/>
  <c r="F94" i="6"/>
  <c r="G94" i="6" s="1"/>
  <c r="H94" i="6" s="1"/>
  <c r="I94" i="6" s="1"/>
  <c r="F110" i="6"/>
  <c r="G110" i="6" s="1"/>
  <c r="H110" i="6" s="1"/>
  <c r="I110" i="6" s="1"/>
  <c r="F55" i="6"/>
  <c r="G55" i="6" s="1"/>
  <c r="H55" i="6" s="1"/>
  <c r="I55" i="6" s="1"/>
  <c r="F71" i="6"/>
  <c r="G71" i="6" s="1"/>
  <c r="H71" i="6" s="1"/>
  <c r="I71" i="6" s="1"/>
  <c r="F87" i="6"/>
  <c r="G87" i="6" s="1"/>
  <c r="H87" i="6" s="1"/>
  <c r="I87" i="6" s="1"/>
  <c r="F103" i="6"/>
  <c r="G103" i="6" s="1"/>
  <c r="H103" i="6" s="1"/>
  <c r="I103" i="6" s="1"/>
  <c r="F119" i="6"/>
  <c r="G119" i="6" s="1"/>
  <c r="H119" i="6" s="1"/>
  <c r="I119" i="6" s="1"/>
  <c r="F64" i="6"/>
  <c r="G64" i="6" s="1"/>
  <c r="H64" i="6" s="1"/>
  <c r="I64" i="6" s="1"/>
  <c r="F80" i="6"/>
  <c r="G80" i="6" s="1"/>
  <c r="H80" i="6" s="1"/>
  <c r="I80" i="6" s="1"/>
  <c r="F96" i="6"/>
  <c r="G96" i="6" s="1"/>
  <c r="H96" i="6" s="1"/>
  <c r="I96" i="6" s="1"/>
  <c r="F112" i="6"/>
  <c r="G112" i="6" s="1"/>
  <c r="H112" i="6" s="1"/>
  <c r="I112" i="6" s="1"/>
  <c r="F57" i="6"/>
  <c r="G57" i="6" s="1"/>
  <c r="H57" i="6" s="1"/>
  <c r="I57" i="6" s="1"/>
  <c r="F73" i="6"/>
  <c r="G73" i="6" s="1"/>
  <c r="H73" i="6" s="1"/>
  <c r="I73" i="6" s="1"/>
  <c r="F89" i="6"/>
  <c r="G89" i="6" s="1"/>
  <c r="H89" i="6" s="1"/>
  <c r="I89" i="6" s="1"/>
  <c r="F105" i="6"/>
  <c r="G105" i="6" s="1"/>
  <c r="H105" i="6" s="1"/>
  <c r="I105" i="6" s="1"/>
  <c r="F121" i="6"/>
  <c r="G121" i="6" s="1"/>
  <c r="H121" i="6" s="1"/>
  <c r="I121" i="6" s="1"/>
  <c r="F66" i="6"/>
  <c r="G66" i="6" s="1"/>
  <c r="H66" i="6" s="1"/>
  <c r="I66" i="6" s="1"/>
  <c r="F82" i="6"/>
  <c r="G82" i="6" s="1"/>
  <c r="H82" i="6" s="1"/>
  <c r="I82" i="6" s="1"/>
  <c r="F98" i="6"/>
  <c r="G98" i="6" s="1"/>
  <c r="H98" i="6" s="1"/>
  <c r="I98" i="6" s="1"/>
  <c r="F114" i="6"/>
  <c r="G114" i="6" s="1"/>
  <c r="H114" i="6" s="1"/>
  <c r="I114" i="6" s="1"/>
  <c r="F59" i="6"/>
  <c r="G59" i="6" s="1"/>
  <c r="H59" i="6" s="1"/>
  <c r="I59" i="6" s="1"/>
  <c r="F75" i="6"/>
  <c r="G75" i="6" s="1"/>
  <c r="H75" i="6" s="1"/>
  <c r="I75" i="6" s="1"/>
  <c r="F91" i="6"/>
  <c r="G91" i="6" s="1"/>
  <c r="H91" i="6" s="1"/>
  <c r="I91" i="6" s="1"/>
  <c r="F107" i="6"/>
  <c r="G107" i="6" s="1"/>
  <c r="H107" i="6" s="1"/>
  <c r="I107" i="6" s="1"/>
  <c r="F123" i="6"/>
  <c r="G123" i="6" s="1"/>
  <c r="H123" i="6" s="1"/>
  <c r="I123" i="6" s="1"/>
  <c r="F68" i="6"/>
  <c r="G68" i="6" s="1"/>
  <c r="H68" i="6" s="1"/>
  <c r="I68" i="6" s="1"/>
  <c r="F84" i="6"/>
  <c r="G84" i="6" s="1"/>
  <c r="H84" i="6" s="1"/>
  <c r="I84" i="6" s="1"/>
  <c r="F100" i="6"/>
  <c r="G100" i="6" s="1"/>
  <c r="H100" i="6" s="1"/>
  <c r="I100" i="6" s="1"/>
  <c r="F116" i="6"/>
  <c r="G116" i="6" s="1"/>
  <c r="H116" i="6" s="1"/>
  <c r="I116" i="6" s="1"/>
  <c r="F61" i="6"/>
  <c r="G61" i="6" s="1"/>
  <c r="H61" i="6" s="1"/>
  <c r="I61" i="6" s="1"/>
  <c r="F77" i="6"/>
  <c r="G77" i="6" s="1"/>
  <c r="H77" i="6" s="1"/>
  <c r="I77" i="6" s="1"/>
  <c r="F93" i="6"/>
  <c r="G93" i="6" s="1"/>
  <c r="H93" i="6" s="1"/>
  <c r="I93" i="6" s="1"/>
  <c r="F109" i="6"/>
  <c r="G109" i="6" s="1"/>
  <c r="H109" i="6" s="1"/>
  <c r="I109" i="6" s="1"/>
  <c r="F125" i="6"/>
  <c r="G125" i="6" s="1"/>
  <c r="H125" i="6" s="1"/>
  <c r="I125" i="6" s="1"/>
  <c r="F41" i="6"/>
  <c r="G41" i="6" s="1"/>
  <c r="F46" i="6"/>
  <c r="G46" i="6" s="1"/>
  <c r="H46" i="6" s="1"/>
  <c r="I46" i="6" s="1"/>
  <c r="F52" i="6"/>
  <c r="G52" i="6" s="1"/>
  <c r="H52" i="6" s="1"/>
  <c r="I52" i="6" s="1"/>
  <c r="F42" i="6"/>
  <c r="G42" i="6" s="1"/>
  <c r="H42" i="6" s="1"/>
  <c r="I42" i="6" s="1"/>
  <c r="F51" i="6"/>
  <c r="G51" i="6" s="1"/>
  <c r="H51" i="6" s="1"/>
  <c r="I51" i="6" s="1"/>
  <c r="F49" i="6"/>
  <c r="G49" i="6" s="1"/>
  <c r="H49" i="6" s="1"/>
  <c r="I49" i="6" s="1"/>
  <c r="F48" i="6"/>
  <c r="G48" i="6" s="1"/>
  <c r="H48" i="6" s="1"/>
  <c r="I48" i="6" s="1"/>
  <c r="F44" i="6"/>
  <c r="G44" i="6" s="1"/>
  <c r="H44" i="6" s="1"/>
  <c r="I44" i="6" s="1"/>
  <c r="F45" i="6"/>
  <c r="G45" i="6" s="1"/>
  <c r="H45" i="6" s="1"/>
  <c r="I45" i="6" s="1"/>
  <c r="F50" i="6"/>
  <c r="G50" i="6" s="1"/>
  <c r="H50" i="6" s="1"/>
  <c r="I50" i="6" s="1"/>
  <c r="F43" i="6"/>
  <c r="G43" i="6" s="1"/>
  <c r="H43" i="6" s="1"/>
  <c r="I43" i="6" s="1"/>
  <c r="F47" i="6"/>
  <c r="G47" i="6" s="1"/>
  <c r="H47" i="6" s="1"/>
  <c r="I47" i="6" s="1"/>
  <c r="F53" i="6"/>
  <c r="G53" i="6" s="1"/>
  <c r="H53" i="6" s="1"/>
  <c r="I53" i="6" s="1"/>
  <c r="H41" i="6" l="1"/>
  <c r="I4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COLOCAR LA INVERSIÓN PROPIA ES DECIR SI TIENE RECURSOS PROPIOS</t>
        </r>
      </text>
    </comment>
    <comment ref="D3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VALOR QUE NECESITARIA DE CREDITO</t>
        </r>
      </text>
    </comment>
    <comment ref="D4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ALGUN TIPO DE DONACIÓN QUE PUEDA TENER</t>
        </r>
      </text>
    </comment>
  </commentList>
</comments>
</file>

<file path=xl/sharedStrings.xml><?xml version="1.0" encoding="utf-8"?>
<sst xmlns="http://schemas.openxmlformats.org/spreadsheetml/2006/main" count="135" uniqueCount="108">
  <si>
    <t>INFORMACIÓN GENERAL DE STARTUP</t>
  </si>
  <si>
    <t>FINANCIAMIENTO DE INICIO</t>
  </si>
  <si>
    <t>Gastos totales</t>
  </si>
  <si>
    <t>Otros</t>
  </si>
  <si>
    <t>Inversores</t>
  </si>
  <si>
    <t>Préstamos</t>
  </si>
  <si>
    <t>Financiación adicional</t>
  </si>
  <si>
    <t>Propietario 1</t>
  </si>
  <si>
    <t>Propietario 2</t>
  </si>
  <si>
    <t>Propietario 3</t>
  </si>
  <si>
    <t>Total</t>
  </si>
  <si>
    <t>Préstamo bancario</t>
  </si>
  <si>
    <t>Préstamo no bancario</t>
  </si>
  <si>
    <t>concesión</t>
  </si>
  <si>
    <t>Financiación total para la puesta en marcha</t>
  </si>
  <si>
    <t>Presupuesto</t>
  </si>
  <si>
    <t xml:space="preserve"> </t>
  </si>
  <si>
    <t>GASTOS INICIALES</t>
  </si>
  <si>
    <t>Software (general)</t>
  </si>
  <si>
    <t>Desarrollo de Marca / Identidad</t>
  </si>
  <si>
    <t>Sitio web</t>
  </si>
  <si>
    <t>Material de marketing impreso</t>
  </si>
  <si>
    <t>Tarifas de anuncios</t>
  </si>
  <si>
    <t>Mercadeo por Internet</t>
  </si>
  <si>
    <t>Ferias de muestras</t>
  </si>
  <si>
    <t>Fiesta de lanzamiento</t>
  </si>
  <si>
    <t>INGRESOS</t>
  </si>
  <si>
    <t>Ventas estimadas</t>
  </si>
  <si>
    <t>Menos (descuentos, errores, etc.)</t>
  </si>
  <si>
    <t>Ingresos por servicios</t>
  </si>
  <si>
    <t xml:space="preserve">Otros ingresos </t>
  </si>
  <si>
    <t>Ventas netas</t>
  </si>
  <si>
    <t>Coste de bienes vendidos</t>
  </si>
  <si>
    <t>Beneficio bruto</t>
  </si>
  <si>
    <t>GASTOS</t>
  </si>
  <si>
    <t>Gastos de impuestos</t>
  </si>
  <si>
    <t>AÑO HASTA LA FECHA</t>
  </si>
  <si>
    <t>Presupuesto Mensual</t>
  </si>
  <si>
    <t xml:space="preserve">Ingresos </t>
  </si>
  <si>
    <t>Presupuesto Acumulado en meses</t>
  </si>
  <si>
    <t>UNIDADES</t>
  </si>
  <si>
    <t>PVP</t>
  </si>
  <si>
    <t>GRUPO</t>
  </si>
  <si>
    <t>IDEA DE NEGOCIO</t>
  </si>
  <si>
    <t>LOCALIDAD</t>
  </si>
  <si>
    <t>CARRERA</t>
  </si>
  <si>
    <t>Gastos de Inicio</t>
  </si>
  <si>
    <t>CUADRO DE AMORTIZACIÓN DE UN PRÉSTAMO</t>
  </si>
  <si>
    <t>Introducción de datos:</t>
  </si>
  <si>
    <t>Capital inicial:</t>
  </si>
  <si>
    <t>Tipo de interés nominal:</t>
  </si>
  <si>
    <t>Resultados:</t>
  </si>
  <si>
    <t>Comisión de apertura:</t>
  </si>
  <si>
    <t>Comisión de gestión:</t>
  </si>
  <si>
    <t>Capital efectivo:</t>
  </si>
  <si>
    <t>T.A.E. real</t>
  </si>
  <si>
    <t>Gastos fijos bancarios:</t>
  </si>
  <si>
    <t>Gastos adicionales:</t>
  </si>
  <si>
    <t>Comisión de cancelación anticipada</t>
  </si>
  <si>
    <t>Prepagable (1) o pospagable (0)</t>
  </si>
  <si>
    <t>Periodos de pago</t>
  </si>
  <si>
    <t xml:space="preserve">Cuota </t>
  </si>
  <si>
    <t>Pago de intereses</t>
  </si>
  <si>
    <t>Amortización del principal</t>
  </si>
  <si>
    <t>Amortización acumulada del principal</t>
  </si>
  <si>
    <t>Capital pendiente</t>
  </si>
  <si>
    <t>Importe de la comisión de cancelación</t>
  </si>
  <si>
    <t>Coste de cancelación</t>
  </si>
  <si>
    <t>Plazo Años:</t>
  </si>
  <si>
    <t>Computador</t>
  </si>
  <si>
    <t>Muebles de Oficina</t>
  </si>
  <si>
    <t>INICIO DEL NEGOCIO</t>
  </si>
  <si>
    <t>EMPRENDIMIENTO E INNOVACIÓN EMPRESARIAL</t>
  </si>
  <si>
    <t>Gastos Administrativos</t>
  </si>
  <si>
    <t>Gastos Generales de Inicio</t>
  </si>
  <si>
    <t>Permisos Municipales</t>
  </si>
  <si>
    <t>Gastos de Constitución</t>
  </si>
  <si>
    <t>Pago de Prestamos Anteriores</t>
  </si>
  <si>
    <t>Sueldos y Salrarios</t>
  </si>
  <si>
    <t>Gastos Financieros</t>
  </si>
  <si>
    <t>Intereses Bancarios</t>
  </si>
  <si>
    <t>Comisiones Bancarias</t>
  </si>
  <si>
    <t>Honorarios Profesionales</t>
  </si>
  <si>
    <t>Capacitaciones</t>
  </si>
  <si>
    <t>Transportes de Mercadería</t>
  </si>
  <si>
    <t xml:space="preserve">Publicidad </t>
  </si>
  <si>
    <t>Compra de Materias Primas o Mercadería</t>
  </si>
  <si>
    <t>Maquinas  para Tarjeta de Crédito</t>
  </si>
  <si>
    <t>Gastos Marketing y Ventas</t>
  </si>
  <si>
    <t>Cánones /Arrendamiento</t>
  </si>
  <si>
    <t>Primas de Seguros</t>
  </si>
  <si>
    <t>Pagos Iess</t>
  </si>
  <si>
    <t>Pagos Sri</t>
  </si>
  <si>
    <t>Suministros varios</t>
  </si>
  <si>
    <t>Cheques / Estado de Cuenta</t>
  </si>
  <si>
    <t xml:space="preserve">PRIMER MES </t>
  </si>
  <si>
    <t>Financiación Sugerida</t>
  </si>
  <si>
    <t>Posición de Efectivo</t>
  </si>
  <si>
    <t>Invitados Especiales</t>
  </si>
  <si>
    <t>Financiamiento</t>
  </si>
  <si>
    <t>VENTA</t>
  </si>
  <si>
    <t>COSTO</t>
  </si>
  <si>
    <t>GANANCIA</t>
  </si>
  <si>
    <t>1-% RENTABILIDAD</t>
  </si>
  <si>
    <t>Periodicidad en meses:</t>
  </si>
  <si>
    <t>ERROR NO GANO EL 30% PARA UBICAR EL PVP</t>
  </si>
  <si>
    <t xml:space="preserve">MODO INCORRECTO </t>
  </si>
  <si>
    <t>MODO ICORRECTO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</si>
</sst>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_ [$$-300A]* #,##0.00_ ;_ [$$-300A]* \-#,##0.00_ ;_ [$$-300A]* &quot;-&quot;??_ ;_ @_ "/>
    <numFmt numFmtId="169" formatCode="_-* #,##0\ _p_t_a_-;\-* #,##0\ _p_t_a_-;_-* &quot;-&quot;\ _p_t_a_-;_-@_-"/>
    <numFmt numFmtId="170" formatCode="0.000%"/>
    <numFmt numFmtId="171" formatCode="0.0000%"/>
    <numFmt numFmtId="172" formatCode="_(* #,##0_);_(* \(#,##0\);_(* &quot;-&quot;??_);_(@_)"/>
  </numFmts>
  <fonts count="45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3"/>
      <name val="Arial"/>
      <family val="2"/>
      <scheme val="minor"/>
    </font>
    <font>
      <sz val="12"/>
      <color theme="3"/>
      <name val="Arial"/>
      <family val="2"/>
      <scheme val="minor"/>
    </font>
    <font>
      <sz val="10"/>
      <color theme="2" tint="0.79998168889431442"/>
      <name val="Arial"/>
      <family val="2"/>
      <scheme val="minor"/>
    </font>
    <font>
      <b/>
      <sz val="10"/>
      <color theme="3"/>
      <name val="Arial"/>
      <family val="2"/>
      <scheme val="minor"/>
    </font>
    <font>
      <sz val="9"/>
      <color theme="3"/>
      <name val="Arial"/>
      <family val="2"/>
      <scheme val="minor"/>
    </font>
    <font>
      <b/>
      <sz val="9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b/>
      <sz val="11"/>
      <color theme="5"/>
      <name val="Arial"/>
      <family val="2"/>
      <scheme val="minor"/>
    </font>
    <font>
      <b/>
      <sz val="11"/>
      <color theme="2" tint="0.79998168889431442"/>
      <name val="Arial"/>
      <family val="2"/>
      <scheme val="minor"/>
    </font>
    <font>
      <sz val="9"/>
      <color theme="2" tint="0.79998168889431442"/>
      <name val="Arial"/>
      <family val="2"/>
      <scheme val="minor"/>
    </font>
    <font>
      <b/>
      <sz val="14"/>
      <color theme="2" tint="0.79998168889431442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3" tint="0.249977111117893"/>
      <name val="Arial"/>
      <family val="2"/>
      <scheme val="minor"/>
    </font>
    <font>
      <b/>
      <sz val="12"/>
      <color theme="2" tint="0.79998168889431442"/>
      <name val="Arial"/>
      <family val="2"/>
      <scheme val="minor"/>
    </font>
    <font>
      <sz val="16"/>
      <color theme="3"/>
      <name val="Arial"/>
      <family val="2"/>
      <scheme val="minor"/>
    </font>
    <font>
      <sz val="22"/>
      <color theme="3"/>
      <name val="Arial"/>
      <family val="2"/>
      <scheme val="minor"/>
    </font>
    <font>
      <sz val="14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2" tint="0.39994506668294322"/>
      </right>
      <top/>
      <bottom/>
      <diagonal/>
    </border>
    <border>
      <left style="thin">
        <color theme="2" tint="0.39994506668294322"/>
      </left>
      <right style="thin">
        <color theme="2" tint="0.39994506668294322"/>
      </right>
      <top/>
      <bottom/>
      <diagonal/>
    </border>
    <border>
      <left style="thin">
        <color theme="2" tint="0.39994506668294322"/>
      </left>
      <right/>
      <top/>
      <bottom/>
      <diagonal/>
    </border>
    <border>
      <left/>
      <right style="thin">
        <color theme="4" tint="0.59996337778862885"/>
      </right>
      <top style="thin">
        <color theme="0"/>
      </top>
      <bottom style="thin">
        <color theme="0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0"/>
      </top>
      <bottom style="thin">
        <color theme="0"/>
      </bottom>
      <diagonal/>
    </border>
    <border>
      <left style="thin">
        <color theme="4" tint="0.59996337778862885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59996337778862885"/>
      </right>
      <top style="thin">
        <color theme="0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0"/>
      </top>
      <bottom/>
      <diagonal/>
    </border>
    <border>
      <left style="thin">
        <color theme="4" tint="0.59996337778862885"/>
      </left>
      <right/>
      <top style="thin">
        <color theme="0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0"/>
      </top>
      <bottom style="thin">
        <color theme="4" tint="0.59996337778862885"/>
      </bottom>
      <diagonal/>
    </border>
    <border>
      <left style="thin">
        <color theme="2" tint="0.39991454817346722"/>
      </left>
      <right/>
      <top/>
      <bottom/>
      <diagonal/>
    </border>
    <border>
      <left style="thin">
        <color theme="2" tint="0.39991454817346722"/>
      </left>
      <right style="thin">
        <color theme="2" tint="0.3999145481734672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4" tint="0.59996337778862885"/>
      </right>
      <top style="thin">
        <color theme="0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0"/>
      </right>
      <top style="thin">
        <color theme="0"/>
      </top>
      <bottom style="thin">
        <color theme="4" tint="0.59996337778862885"/>
      </bottom>
      <diagonal/>
    </border>
    <border>
      <left style="medium">
        <color theme="0"/>
      </left>
      <right style="thin">
        <color theme="4" tint="0.59996337778862885"/>
      </right>
      <top style="thin">
        <color theme="4" tint="0.59996337778862885"/>
      </top>
      <bottom style="medium">
        <color theme="0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0"/>
      </bottom>
      <diagonal/>
    </border>
    <border>
      <left style="thin">
        <color theme="4" tint="0.59996337778862885"/>
      </left>
      <right style="medium">
        <color theme="0"/>
      </right>
      <top style="thin">
        <color theme="4" tint="0.59996337778862885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167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1" applyNumberFormat="0" applyFill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24" applyNumberFormat="0" applyAlignment="0" applyProtection="0"/>
    <xf numFmtId="0" fontId="24" fillId="9" borderId="25" applyNumberFormat="0" applyAlignment="0" applyProtection="0"/>
    <xf numFmtId="0" fontId="25" fillId="9" borderId="24" applyNumberFormat="0" applyAlignment="0" applyProtection="0"/>
    <xf numFmtId="0" fontId="26" fillId="0" borderId="26" applyNumberFormat="0" applyFill="0" applyAlignment="0" applyProtection="0"/>
    <xf numFmtId="0" fontId="1" fillId="10" borderId="27" applyNumberFormat="0" applyAlignment="0" applyProtection="0"/>
    <xf numFmtId="0" fontId="27" fillId="0" borderId="0" applyNumberFormat="0" applyFill="0" applyBorder="0" applyAlignment="0" applyProtection="0"/>
    <xf numFmtId="0" fontId="15" fillId="11" borderId="2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9" applyNumberFormat="0" applyFill="0" applyAlignment="0" applyProtection="0"/>
    <xf numFmtId="0" fontId="2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2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2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2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2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</cellStyleXfs>
  <cellXfs count="152">
    <xf numFmtId="0" fontId="0" fillId="0" borderId="0" xfId="0"/>
    <xf numFmtId="168" fontId="7" fillId="0" borderId="0" xfId="3" applyNumberFormat="1" applyFont="1" applyAlignment="1">
      <alignment horizontal="left" vertical="center"/>
    </xf>
    <xf numFmtId="168" fontId="7" fillId="2" borderId="2" xfId="3" applyNumberFormat="1" applyFont="1" applyFill="1" applyBorder="1" applyAlignment="1">
      <alignment horizontal="left" vertical="center"/>
    </xf>
    <xf numFmtId="168" fontId="7" fillId="0" borderId="8" xfId="3" applyNumberFormat="1" applyFont="1" applyBorder="1" applyAlignment="1">
      <alignment horizontal="left" vertical="center"/>
    </xf>
    <xf numFmtId="168" fontId="7" fillId="0" borderId="0" xfId="3" applyNumberFormat="1" applyFont="1" applyAlignment="1">
      <alignment horizontal="left"/>
    </xf>
    <xf numFmtId="168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 indent="1"/>
    </xf>
    <xf numFmtId="168" fontId="3" fillId="0" borderId="0" xfId="0" applyNumberFormat="1" applyFont="1" applyAlignment="1">
      <alignment horizontal="left" vertical="center"/>
    </xf>
    <xf numFmtId="168" fontId="7" fillId="0" borderId="0" xfId="0" applyNumberFormat="1" applyFont="1"/>
    <xf numFmtId="168" fontId="7" fillId="0" borderId="0" xfId="0" applyNumberFormat="1" applyFont="1" applyAlignment="1">
      <alignment horizontal="left"/>
    </xf>
    <xf numFmtId="168" fontId="4" fillId="0" borderId="0" xfId="0" applyNumberFormat="1" applyFont="1" applyAlignment="1">
      <alignment vertical="center"/>
    </xf>
    <xf numFmtId="168" fontId="13" fillId="3" borderId="9" xfId="0" applyNumberFormat="1" applyFont="1" applyFill="1" applyBorder="1" applyAlignment="1">
      <alignment horizontal="left" vertical="center" indent="1"/>
    </xf>
    <xf numFmtId="168" fontId="2" fillId="3" borderId="1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left" vertical="center" indent="1"/>
    </xf>
    <xf numFmtId="168" fontId="3" fillId="2" borderId="2" xfId="0" applyNumberFormat="1" applyFont="1" applyFill="1" applyBorder="1" applyAlignment="1">
      <alignment horizontal="left" vertical="center"/>
    </xf>
    <xf numFmtId="168" fontId="3" fillId="2" borderId="3" xfId="0" applyNumberFormat="1" applyFont="1" applyFill="1" applyBorder="1" applyAlignment="1">
      <alignment horizontal="left" vertical="center"/>
    </xf>
    <xf numFmtId="168" fontId="3" fillId="2" borderId="6" xfId="0" applyNumberFormat="1" applyFont="1" applyFill="1" applyBorder="1" applyAlignment="1">
      <alignment horizontal="left" vertical="center" indent="1"/>
    </xf>
    <xf numFmtId="168" fontId="3" fillId="2" borderId="4" xfId="0" applyNumberFormat="1" applyFont="1" applyFill="1" applyBorder="1" applyAlignment="1">
      <alignment horizontal="left" vertical="center"/>
    </xf>
    <xf numFmtId="168" fontId="3" fillId="2" borderId="7" xfId="0" applyNumberFormat="1" applyFont="1" applyFill="1" applyBorder="1" applyAlignment="1">
      <alignment horizontal="left" vertical="center"/>
    </xf>
    <xf numFmtId="168" fontId="13" fillId="3" borderId="0" xfId="0" applyNumberFormat="1" applyFont="1" applyFill="1" applyAlignment="1">
      <alignment horizontal="left" vertical="center" indent="1"/>
    </xf>
    <xf numFmtId="168" fontId="5" fillId="3" borderId="20" xfId="0" applyNumberFormat="1" applyFont="1" applyFill="1" applyBorder="1" applyAlignment="1">
      <alignment horizontal="left" vertical="center"/>
    </xf>
    <xf numFmtId="168" fontId="5" fillId="3" borderId="19" xfId="0" applyNumberFormat="1" applyFont="1" applyFill="1" applyBorder="1" applyAlignment="1">
      <alignment horizontal="left" vertical="center"/>
    </xf>
    <xf numFmtId="168" fontId="11" fillId="3" borderId="0" xfId="0" applyNumberFormat="1" applyFont="1" applyFill="1" applyAlignment="1">
      <alignment horizontal="left" vertical="center"/>
    </xf>
    <xf numFmtId="168" fontId="12" fillId="3" borderId="0" xfId="0" applyNumberFormat="1" applyFont="1" applyFill="1" applyAlignment="1">
      <alignment horizontal="center" vertical="center"/>
    </xf>
    <xf numFmtId="168" fontId="7" fillId="0" borderId="0" xfId="0" applyNumberFormat="1" applyFont="1" applyAlignment="1">
      <alignment vertical="center"/>
    </xf>
    <xf numFmtId="168" fontId="10" fillId="0" borderId="8" xfId="0" applyNumberFormat="1" applyFont="1" applyBorder="1" applyAlignment="1">
      <alignment vertical="center"/>
    </xf>
    <xf numFmtId="168" fontId="7" fillId="0" borderId="8" xfId="0" applyNumberFormat="1" applyFont="1" applyBorder="1" applyAlignment="1">
      <alignment horizontal="left" vertical="center"/>
    </xf>
    <xf numFmtId="168" fontId="7" fillId="0" borderId="0" xfId="0" applyNumberFormat="1" applyFont="1" applyAlignment="1">
      <alignment horizontal="left" vertical="center"/>
    </xf>
    <xf numFmtId="168" fontId="7" fillId="0" borderId="0" xfId="0" applyNumberFormat="1" applyFont="1" applyAlignment="1">
      <alignment horizontal="right" vertical="center" indent="1"/>
    </xf>
    <xf numFmtId="168" fontId="8" fillId="0" borderId="0" xfId="0" applyNumberFormat="1" applyFont="1" applyAlignment="1">
      <alignment horizontal="right" vertical="center" indent="1"/>
    </xf>
    <xf numFmtId="168" fontId="7" fillId="4" borderId="5" xfId="0" applyNumberFormat="1" applyFont="1" applyFill="1" applyBorder="1" applyAlignment="1">
      <alignment horizontal="left" vertical="center"/>
    </xf>
    <xf numFmtId="168" fontId="10" fillId="0" borderId="0" xfId="0" applyNumberFormat="1" applyFont="1" applyAlignment="1">
      <alignment vertical="center"/>
    </xf>
    <xf numFmtId="168" fontId="1" fillId="3" borderId="0" xfId="0" applyNumberFormat="1" applyFont="1" applyFill="1" applyAlignment="1">
      <alignment horizontal="center" vertical="center"/>
    </xf>
    <xf numFmtId="168" fontId="10" fillId="0" borderId="0" xfId="0" applyNumberFormat="1" applyFont="1" applyAlignment="1">
      <alignment horizontal="left" vertical="center" indent="1"/>
    </xf>
    <xf numFmtId="168" fontId="6" fillId="4" borderId="1" xfId="0" applyNumberFormat="1" applyFont="1" applyFill="1" applyBorder="1" applyAlignment="1">
      <alignment horizontal="left" vertical="center"/>
    </xf>
    <xf numFmtId="168" fontId="7" fillId="2" borderId="1" xfId="0" applyNumberFormat="1" applyFont="1" applyFill="1" applyBorder="1" applyAlignment="1">
      <alignment horizontal="left" vertical="center"/>
    </xf>
    <xf numFmtId="168" fontId="9" fillId="0" borderId="0" xfId="0" applyNumberFormat="1" applyFont="1" applyAlignment="1">
      <alignment vertical="center"/>
    </xf>
    <xf numFmtId="168" fontId="9" fillId="0" borderId="8" xfId="0" applyNumberFormat="1" applyFont="1" applyBorder="1" applyAlignment="1">
      <alignment horizontal="left" vertical="center"/>
    </xf>
    <xf numFmtId="168" fontId="10" fillId="0" borderId="0" xfId="0" applyNumberFormat="1" applyFont="1" applyAlignment="1">
      <alignment vertical="center" wrapText="1"/>
    </xf>
    <xf numFmtId="17" fontId="2" fillId="3" borderId="10" xfId="0" applyNumberFormat="1" applyFont="1" applyFill="1" applyBorder="1" applyAlignment="1">
      <alignment horizontal="center" vertical="center"/>
    </xf>
    <xf numFmtId="168" fontId="12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68" fontId="6" fillId="0" borderId="1" xfId="0" applyNumberFormat="1" applyFont="1" applyBorder="1" applyAlignment="1">
      <alignment horizontal="left" vertical="center"/>
    </xf>
    <xf numFmtId="168" fontId="7" fillId="0" borderId="1" xfId="0" applyNumberFormat="1" applyFont="1" applyBorder="1" applyAlignment="1">
      <alignment horizontal="left" vertical="center"/>
    </xf>
    <xf numFmtId="17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8" fontId="2" fillId="3" borderId="4" xfId="3" applyNumberFormat="1" applyFont="1" applyFill="1" applyBorder="1" applyAlignment="1">
      <alignment horizontal="center" vertical="center"/>
    </xf>
    <xf numFmtId="168" fontId="30" fillId="2" borderId="2" xfId="3" applyNumberFormat="1" applyFont="1" applyFill="1" applyBorder="1" applyAlignment="1">
      <alignment horizontal="left" vertical="center"/>
    </xf>
    <xf numFmtId="168" fontId="30" fillId="0" borderId="0" xfId="3" applyNumberFormat="1" applyFont="1" applyAlignment="1">
      <alignment horizontal="left" vertical="center"/>
    </xf>
    <xf numFmtId="168" fontId="30" fillId="2" borderId="1" xfId="3" applyNumberFormat="1" applyFont="1" applyFill="1" applyBorder="1" applyAlignment="1">
      <alignment horizontal="left" vertical="center"/>
    </xf>
    <xf numFmtId="168" fontId="7" fillId="39" borderId="5" xfId="3" applyNumberFormat="1" applyFont="1" applyFill="1" applyBorder="1" applyAlignment="1">
      <alignment horizontal="left" vertical="center"/>
    </xf>
    <xf numFmtId="168" fontId="8" fillId="39" borderId="5" xfId="3" applyNumberFormat="1" applyFont="1" applyFill="1" applyBorder="1" applyAlignment="1">
      <alignment horizontal="left" vertical="center"/>
    </xf>
    <xf numFmtId="168" fontId="6" fillId="39" borderId="5" xfId="3" applyNumberFormat="1" applyFont="1" applyFill="1" applyBorder="1" applyAlignment="1">
      <alignment horizontal="left" vertical="center"/>
    </xf>
    <xf numFmtId="168" fontId="3" fillId="39" borderId="0" xfId="0" applyNumberFormat="1" applyFont="1" applyFill="1" applyAlignment="1">
      <alignment horizontal="left" vertical="center" indent="1"/>
    </xf>
    <xf numFmtId="168" fontId="3" fillId="39" borderId="0" xfId="0" applyNumberFormat="1" applyFont="1" applyFill="1" applyAlignment="1">
      <alignment horizontal="left" vertical="center"/>
    </xf>
    <xf numFmtId="168" fontId="3" fillId="39" borderId="15" xfId="0" applyNumberFormat="1" applyFont="1" applyFill="1" applyBorder="1" applyAlignment="1">
      <alignment horizontal="left" vertical="center" indent="1"/>
    </xf>
    <xf numFmtId="168" fontId="3" fillId="39" borderId="16" xfId="0" applyNumberFormat="1" applyFont="1" applyFill="1" applyBorder="1" applyAlignment="1">
      <alignment horizontal="left" vertical="center"/>
    </xf>
    <xf numFmtId="168" fontId="3" fillId="39" borderId="17" xfId="0" applyNumberFormat="1" applyFont="1" applyFill="1" applyBorder="1" applyAlignment="1">
      <alignment horizontal="left" vertical="center"/>
    </xf>
    <xf numFmtId="168" fontId="3" fillId="39" borderId="18" xfId="0" applyNumberFormat="1" applyFont="1" applyFill="1" applyBorder="1" applyAlignment="1">
      <alignment horizontal="left" vertical="center"/>
    </xf>
    <xf numFmtId="168" fontId="3" fillId="36" borderId="1" xfId="0" applyNumberFormat="1" applyFont="1" applyFill="1" applyBorder="1" applyAlignment="1">
      <alignment horizontal="left" vertical="center" indent="1"/>
    </xf>
    <xf numFmtId="168" fontId="3" fillId="36" borderId="2" xfId="0" applyNumberFormat="1" applyFont="1" applyFill="1" applyBorder="1" applyAlignment="1">
      <alignment horizontal="left" vertical="center"/>
    </xf>
    <xf numFmtId="168" fontId="3" fillId="36" borderId="3" xfId="0" applyNumberFormat="1" applyFont="1" applyFill="1" applyBorder="1" applyAlignment="1">
      <alignment horizontal="left" vertical="center"/>
    </xf>
    <xf numFmtId="168" fontId="3" fillId="39" borderId="4" xfId="0" applyNumberFormat="1" applyFont="1" applyFill="1" applyBorder="1" applyAlignment="1">
      <alignment horizontal="left" vertical="center" indent="1"/>
    </xf>
    <xf numFmtId="168" fontId="3" fillId="39" borderId="4" xfId="0" applyNumberFormat="1" applyFont="1" applyFill="1" applyBorder="1" applyAlignment="1">
      <alignment horizontal="left" vertical="center"/>
    </xf>
    <xf numFmtId="168" fontId="2" fillId="3" borderId="4" xfId="0" applyNumberFormat="1" applyFont="1" applyFill="1" applyBorder="1" applyAlignment="1">
      <alignment horizontal="center" vertical="center"/>
    </xf>
    <xf numFmtId="0" fontId="0" fillId="42" borderId="0" xfId="0" applyFill="1"/>
    <xf numFmtId="0" fontId="34" fillId="37" borderId="4" xfId="0" applyFont="1" applyFill="1" applyBorder="1" applyAlignment="1">
      <alignment horizontal="center" vertical="center"/>
    </xf>
    <xf numFmtId="0" fontId="34" fillId="37" borderId="7" xfId="0" applyFont="1" applyFill="1" applyBorder="1" applyAlignment="1">
      <alignment horizontal="left" vertical="center"/>
    </xf>
    <xf numFmtId="0" fontId="34" fillId="37" borderId="4" xfId="0" applyFont="1" applyFill="1" applyBorder="1" applyAlignment="1">
      <alignment horizontal="left" vertical="center"/>
    </xf>
    <xf numFmtId="168" fontId="31" fillId="3" borderId="4" xfId="0" applyNumberFormat="1" applyFont="1" applyFill="1" applyBorder="1" applyAlignment="1">
      <alignment horizontal="left" vertical="center"/>
    </xf>
    <xf numFmtId="168" fontId="7" fillId="41" borderId="0" xfId="0" applyNumberFormat="1" applyFont="1" applyFill="1" applyAlignment="1">
      <alignment horizontal="left" vertical="center"/>
    </xf>
    <xf numFmtId="168" fontId="7" fillId="38" borderId="0" xfId="0" applyNumberFormat="1" applyFont="1" applyFill="1" applyAlignment="1">
      <alignment horizontal="left" vertical="center"/>
    </xf>
    <xf numFmtId="168" fontId="7" fillId="38" borderId="1" xfId="0" applyNumberFormat="1" applyFont="1" applyFill="1" applyBorder="1" applyAlignment="1">
      <alignment horizontal="left" vertical="center"/>
    </xf>
    <xf numFmtId="168" fontId="6" fillId="36" borderId="30" xfId="0" applyNumberFormat="1" applyFont="1" applyFill="1" applyBorder="1" applyAlignment="1">
      <alignment horizontal="left" vertical="center" indent="1"/>
    </xf>
    <xf numFmtId="168" fontId="6" fillId="36" borderId="31" xfId="0" applyNumberFormat="1" applyFont="1" applyFill="1" applyBorder="1" applyAlignment="1">
      <alignment horizontal="left" vertical="center" indent="1"/>
    </xf>
    <xf numFmtId="168" fontId="6" fillId="36" borderId="32" xfId="0" applyNumberFormat="1" applyFont="1" applyFill="1" applyBorder="1" applyAlignment="1">
      <alignment horizontal="left" vertical="center" indent="1"/>
    </xf>
    <xf numFmtId="168" fontId="3" fillId="39" borderId="33" xfId="0" applyNumberFormat="1" applyFont="1" applyFill="1" applyBorder="1" applyAlignment="1">
      <alignment horizontal="left" vertical="center" indent="1"/>
    </xf>
    <xf numFmtId="168" fontId="3" fillId="39" borderId="34" xfId="0" applyNumberFormat="1" applyFont="1" applyFill="1" applyBorder="1" applyAlignment="1">
      <alignment horizontal="left" vertical="center"/>
    </xf>
    <xf numFmtId="168" fontId="3" fillId="39" borderId="35" xfId="0" applyNumberFormat="1" applyFont="1" applyFill="1" applyBorder="1" applyAlignment="1">
      <alignment horizontal="left" vertical="center" indent="1"/>
    </xf>
    <xf numFmtId="168" fontId="3" fillId="39" borderId="36" xfId="0" applyNumberFormat="1" applyFont="1" applyFill="1" applyBorder="1" applyAlignment="1">
      <alignment horizontal="left" vertical="center"/>
    </xf>
    <xf numFmtId="168" fontId="3" fillId="39" borderId="37" xfId="0" applyNumberFormat="1" applyFont="1" applyFill="1" applyBorder="1" applyAlignment="1">
      <alignment horizontal="left" vertical="center"/>
    </xf>
    <xf numFmtId="0" fontId="39" fillId="0" borderId="0" xfId="0" applyFont="1"/>
    <xf numFmtId="166" fontId="39" fillId="0" borderId="0" xfId="2" applyFont="1" applyBorder="1" applyAlignment="1">
      <alignment horizontal="center"/>
    </xf>
    <xf numFmtId="166" fontId="39" fillId="0" borderId="0" xfId="2" applyFont="1" applyAlignment="1">
      <alignment horizontal="center"/>
    </xf>
    <xf numFmtId="0" fontId="39" fillId="0" borderId="38" xfId="0" applyFont="1" applyBorder="1"/>
    <xf numFmtId="9" fontId="39" fillId="0" borderId="0" xfId="0" applyNumberFormat="1" applyFont="1" applyAlignment="1">
      <alignment horizontal="center"/>
    </xf>
    <xf numFmtId="170" fontId="39" fillId="0" borderId="0" xfId="0" applyNumberFormat="1" applyFont="1"/>
    <xf numFmtId="0" fontId="39" fillId="0" borderId="0" xfId="0" applyFont="1" applyAlignment="1">
      <alignment horizontal="center"/>
    </xf>
    <xf numFmtId="0" fontId="39" fillId="0" borderId="39" xfId="0" applyFont="1" applyBorder="1"/>
    <xf numFmtId="10" fontId="39" fillId="0" borderId="0" xfId="0" applyNumberFormat="1" applyFont="1" applyAlignment="1">
      <alignment horizontal="center"/>
    </xf>
    <xf numFmtId="169" fontId="39" fillId="0" borderId="40" xfId="0" applyNumberFormat="1" applyFont="1" applyBorder="1" applyAlignment="1">
      <alignment horizontal="center"/>
    </xf>
    <xf numFmtId="166" fontId="39" fillId="0" borderId="0" xfId="2" applyFont="1"/>
    <xf numFmtId="0" fontId="39" fillId="0" borderId="41" xfId="0" applyFont="1" applyBorder="1"/>
    <xf numFmtId="170" fontId="39" fillId="0" borderId="42" xfId="5" applyNumberFormat="1" applyFont="1" applyBorder="1" applyAlignment="1">
      <alignment horizontal="center"/>
    </xf>
    <xf numFmtId="171" fontId="39" fillId="0" borderId="0" xfId="0" applyNumberFormat="1" applyFont="1"/>
    <xf numFmtId="171" fontId="39" fillId="0" borderId="0" xfId="2" applyNumberFormat="1" applyFont="1"/>
    <xf numFmtId="0" fontId="40" fillId="0" borderId="0" xfId="0" applyFont="1"/>
    <xf numFmtId="0" fontId="39" fillId="0" borderId="43" xfId="0" applyFont="1" applyBorder="1"/>
    <xf numFmtId="0" fontId="39" fillId="0" borderId="44" xfId="0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/>
    </xf>
    <xf numFmtId="166" fontId="39" fillId="0" borderId="44" xfId="2" applyFont="1" applyBorder="1" applyAlignment="1">
      <alignment horizontal="center"/>
    </xf>
    <xf numFmtId="169" fontId="39" fillId="0" borderId="44" xfId="0" applyNumberFormat="1" applyFont="1" applyBorder="1" applyAlignment="1">
      <alignment horizontal="center"/>
    </xf>
    <xf numFmtId="0" fontId="39" fillId="0" borderId="45" xfId="0" applyFont="1" applyBorder="1" applyAlignment="1">
      <alignment horizontal="center" vertical="center" wrapText="1"/>
    </xf>
    <xf numFmtId="0" fontId="42" fillId="43" borderId="4" xfId="0" applyFont="1" applyFill="1" applyBorder="1"/>
    <xf numFmtId="168" fontId="39" fillId="0" borderId="44" xfId="1" applyNumberFormat="1" applyFont="1" applyBorder="1" applyAlignment="1">
      <alignment horizontal="center" vertical="center" wrapText="1"/>
    </xf>
    <xf numFmtId="168" fontId="39" fillId="0" borderId="44" xfId="1" applyNumberFormat="1" applyFont="1" applyBorder="1" applyAlignment="1">
      <alignment vertical="center" wrapText="1"/>
    </xf>
    <xf numFmtId="168" fontId="39" fillId="0" borderId="44" xfId="1" applyNumberFormat="1" applyFont="1" applyBorder="1" applyAlignment="1">
      <alignment horizontal="center"/>
    </xf>
    <xf numFmtId="168" fontId="39" fillId="0" borderId="44" xfId="1" applyNumberFormat="1" applyFont="1" applyBorder="1" applyAlignment="1"/>
    <xf numFmtId="168" fontId="39" fillId="0" borderId="0" xfId="1" applyNumberFormat="1" applyFont="1" applyAlignment="1">
      <alignment horizontal="center"/>
    </xf>
    <xf numFmtId="168" fontId="39" fillId="0" borderId="0" xfId="1" applyNumberFormat="1" applyFont="1" applyAlignment="1"/>
    <xf numFmtId="168" fontId="6" fillId="38" borderId="1" xfId="0" applyNumberFormat="1" applyFont="1" applyFill="1" applyBorder="1" applyAlignment="1">
      <alignment horizontal="left" vertical="center"/>
    </xf>
    <xf numFmtId="0" fontId="39" fillId="45" borderId="45" xfId="0" applyFont="1" applyFill="1" applyBorder="1" applyAlignment="1">
      <alignment horizontal="center" vertical="center" wrapText="1"/>
    </xf>
    <xf numFmtId="168" fontId="3" fillId="38" borderId="12" xfId="0" applyNumberFormat="1" applyFont="1" applyFill="1" applyBorder="1" applyAlignment="1">
      <alignment horizontal="left" vertical="center" indent="1"/>
    </xf>
    <xf numFmtId="168" fontId="3" fillId="38" borderId="13" xfId="0" applyNumberFormat="1" applyFont="1" applyFill="1" applyBorder="1" applyAlignment="1">
      <alignment horizontal="left" vertical="center"/>
    </xf>
    <xf numFmtId="168" fontId="3" fillId="38" borderId="14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72" fontId="2" fillId="3" borderId="4" xfId="1" applyNumberFormat="1" applyFont="1" applyFill="1" applyBorder="1" applyAlignment="1">
      <alignment horizontal="center" vertical="center"/>
    </xf>
    <xf numFmtId="168" fontId="8" fillId="46" borderId="0" xfId="3" applyNumberFormat="1" applyFont="1" applyFill="1" applyAlignment="1">
      <alignment horizontal="left" vertical="center"/>
    </xf>
    <xf numFmtId="168" fontId="8" fillId="46" borderId="1" xfId="3" applyNumberFormat="1" applyFont="1" applyFill="1" applyBorder="1" applyAlignment="1">
      <alignment horizontal="left" vertical="center"/>
    </xf>
    <xf numFmtId="168" fontId="32" fillId="0" borderId="44" xfId="0" applyNumberFormat="1" applyFont="1" applyBorder="1" applyAlignment="1">
      <alignment horizontal="left" vertical="center"/>
    </xf>
    <xf numFmtId="9" fontId="32" fillId="0" borderId="44" xfId="5" applyFont="1" applyBorder="1" applyAlignment="1">
      <alignment vertical="center"/>
    </xf>
    <xf numFmtId="168" fontId="43" fillId="0" borderId="0" xfId="0" applyNumberFormat="1" applyFont="1" applyAlignment="1">
      <alignment vertical="center"/>
    </xf>
    <xf numFmtId="168" fontId="44" fillId="0" borderId="0" xfId="0" applyNumberFormat="1" applyFont="1" applyAlignment="1">
      <alignment horizontal="left" vertical="center" indent="1"/>
    </xf>
    <xf numFmtId="168" fontId="43" fillId="0" borderId="0" xfId="0" applyNumberFormat="1" applyFont="1" applyAlignment="1">
      <alignment horizontal="left" vertical="center"/>
    </xf>
    <xf numFmtId="168" fontId="32" fillId="0" borderId="0" xfId="0" applyNumberFormat="1" applyFont="1" applyAlignment="1">
      <alignment horizontal="left" vertical="center"/>
    </xf>
    <xf numFmtId="168" fontId="3" fillId="0" borderId="51" xfId="0" applyNumberFormat="1" applyFont="1" applyBorder="1" applyAlignment="1">
      <alignment horizontal="left" vertical="center"/>
    </xf>
    <xf numFmtId="168" fontId="32" fillId="0" borderId="48" xfId="0" applyNumberFormat="1" applyFont="1" applyBorder="1" applyAlignment="1">
      <alignment horizontal="left" vertical="center"/>
    </xf>
    <xf numFmtId="168" fontId="3" fillId="0" borderId="52" xfId="0" applyNumberFormat="1" applyFont="1" applyBorder="1" applyAlignment="1">
      <alignment horizontal="left" vertical="center"/>
    </xf>
    <xf numFmtId="168" fontId="3" fillId="0" borderId="53" xfId="0" applyNumberFormat="1" applyFont="1" applyBorder="1" applyAlignment="1">
      <alignment horizontal="left" vertical="center"/>
    </xf>
    <xf numFmtId="9" fontId="32" fillId="0" borderId="49" xfId="5" applyFont="1" applyBorder="1" applyAlignment="1">
      <alignment horizontal="center" vertical="center"/>
    </xf>
    <xf numFmtId="168" fontId="3" fillId="0" borderId="54" xfId="0" applyNumberFormat="1" applyFont="1" applyBorder="1" applyAlignment="1">
      <alignment horizontal="left" vertical="center"/>
    </xf>
    <xf numFmtId="168" fontId="32" fillId="0" borderId="47" xfId="0" applyNumberFormat="1" applyFont="1" applyBorder="1" applyAlignment="1">
      <alignment horizontal="left" vertical="center"/>
    </xf>
    <xf numFmtId="9" fontId="32" fillId="0" borderId="55" xfId="5" applyFont="1" applyBorder="1" applyAlignment="1">
      <alignment horizontal="center" vertical="center"/>
    </xf>
    <xf numFmtId="0" fontId="35" fillId="37" borderId="7" xfId="0" applyFont="1" applyFill="1" applyBorder="1" applyAlignment="1">
      <alignment horizontal="center" vertical="center"/>
    </xf>
    <xf numFmtId="0" fontId="35" fillId="37" borderId="6" xfId="0" applyFont="1" applyFill="1" applyBorder="1" applyAlignment="1">
      <alignment horizontal="center" vertical="center"/>
    </xf>
    <xf numFmtId="0" fontId="32" fillId="40" borderId="0" xfId="0" applyFont="1" applyFill="1" applyAlignment="1">
      <alignment horizontal="center" vertical="center"/>
    </xf>
    <xf numFmtId="168" fontId="11" fillId="3" borderId="0" xfId="0" applyNumberFormat="1" applyFont="1" applyFill="1" applyAlignment="1">
      <alignment horizontal="center" vertical="center"/>
    </xf>
    <xf numFmtId="168" fontId="12" fillId="3" borderId="0" xfId="0" applyNumberFormat="1" applyFont="1" applyFill="1" applyAlignment="1">
      <alignment horizontal="center" vertical="center" wrapText="1"/>
    </xf>
    <xf numFmtId="0" fontId="33" fillId="40" borderId="0" xfId="0" applyFont="1" applyFill="1" applyAlignment="1">
      <alignment horizontal="center" vertical="center"/>
    </xf>
    <xf numFmtId="168" fontId="7" fillId="0" borderId="0" xfId="0" applyNumberFormat="1" applyFont="1" applyAlignment="1">
      <alignment horizontal="center"/>
    </xf>
    <xf numFmtId="168" fontId="43" fillId="0" borderId="44" xfId="0" applyNumberFormat="1" applyFont="1" applyBorder="1" applyAlignment="1">
      <alignment horizontal="center" vertical="center" wrapText="1"/>
    </xf>
    <xf numFmtId="168" fontId="4" fillId="38" borderId="0" xfId="0" applyNumberFormat="1" applyFont="1" applyFill="1" applyAlignment="1">
      <alignment horizontal="center" vertical="center"/>
    </xf>
    <xf numFmtId="168" fontId="4" fillId="38" borderId="47" xfId="0" applyNumberFormat="1" applyFont="1" applyFill="1" applyBorder="1" applyAlignment="1">
      <alignment horizontal="center" vertical="center"/>
    </xf>
    <xf numFmtId="168" fontId="4" fillId="38" borderId="48" xfId="0" applyNumberFormat="1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8" fontId="42" fillId="43" borderId="4" xfId="3" applyNumberFormat="1" applyFont="1" applyFill="1" applyBorder="1" applyAlignment="1">
      <alignment horizontal="center"/>
    </xf>
    <xf numFmtId="9" fontId="42" fillId="45" borderId="4" xfId="0" applyNumberFormat="1" applyFont="1" applyFill="1" applyBorder="1" applyAlignment="1">
      <alignment horizontal="center"/>
    </xf>
    <xf numFmtId="0" fontId="42" fillId="45" borderId="4" xfId="0" applyFont="1" applyFill="1" applyBorder="1" applyAlignment="1">
      <alignment horizontal="center"/>
    </xf>
    <xf numFmtId="0" fontId="42" fillId="43" borderId="4" xfId="0" applyFont="1" applyFill="1" applyBorder="1" applyAlignment="1">
      <alignment horizontal="center"/>
    </xf>
    <xf numFmtId="0" fontId="41" fillId="44" borderId="46" xfId="0" applyFont="1" applyFill="1" applyBorder="1" applyAlignment="1">
      <alignment horizontal="center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_ [$$-300A]* #,##0.00_ ;_ [$$-300A]* \-#,##0.00_ ;_ [$$-300A]* &quot;-&quot;??_ ;_ 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8" formatCode="_ [$$-300A]* #,##0.00_ ;_ [$$-300A]* \-#,##0.00_ ;_ [$$-300A]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257175</xdr:rowOff>
    </xdr:from>
    <xdr:to>
      <xdr:col>3</xdr:col>
      <xdr:colOff>9524</xdr:colOff>
      <xdr:row>0</xdr:row>
      <xdr:rowOff>1371600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257175"/>
          <a:ext cx="8991599" cy="111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133351</xdr:colOff>
      <xdr:row>1</xdr:row>
      <xdr:rowOff>1104900</xdr:rowOff>
    </xdr:from>
    <xdr:to>
      <xdr:col>5</xdr:col>
      <xdr:colOff>381000</xdr:colOff>
      <xdr:row>1</xdr:row>
      <xdr:rowOff>1733550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00000000-0008-0000-0200-00000E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285751" y="1104900"/>
          <a:ext cx="5800724" cy="62865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16:I77" totalsRowShown="0" headerRowDxfId="11" dataDxfId="9" headerRowBorderDxfId="10" tableBorderDxfId="8">
  <autoFilter ref="B16:I77" xr:uid="{00000000-0009-0000-0100-000001000000}"/>
  <tableColumns count="8">
    <tableColumn id="1" xr3:uid="{00000000-0010-0000-0000-000001000000}" name="Periodos de pago" dataDxfId="7">
      <calculatedColumnFormula>IF(B16&lt;$B$5*$B$6,B16+1,"")</calculatedColumnFormula>
    </tableColumn>
    <tableColumn id="2" xr3:uid="{00000000-0010-0000-0000-000002000000}" name="Cuota " dataDxfId="6">
      <calculatedColumnFormula>IF(B17&lt;=$B$5*$B$6,-PMT($B$4/$B$6,$B$5*$B$6,$B$3,,$C$12),"")</calculatedColumnFormula>
    </tableColumn>
    <tableColumn id="3" xr3:uid="{00000000-0010-0000-0000-000003000000}" name="Pago de intereses" dataDxfId="5">
      <calculatedColumnFormula>IF(B17&lt;=$B$5*$B$6,-IPMT($B$4/$B$6,B17,$B$5*$B$6,$B$3,,$C$12),"")</calculatedColumnFormula>
    </tableColumn>
    <tableColumn id="4" xr3:uid="{00000000-0010-0000-0000-000004000000}" name="Amortización del principal" dataDxfId="4">
      <calculatedColumnFormula>IF(B17&lt;=$B$5*$B$6,-PPMT($B$4/$B$6,B17,$B$5*$B$6,$B$3,,$C$12),"")</calculatedColumnFormula>
    </tableColumn>
    <tableColumn id="5" xr3:uid="{00000000-0010-0000-0000-000005000000}" name="Amortización acumulada del principal" dataDxfId="3">
      <calculatedColumnFormula>IF(B17&lt;=$B$5*$B$6,SUM($E$17:E18),"")</calculatedColumnFormula>
    </tableColumn>
    <tableColumn id="6" xr3:uid="{00000000-0010-0000-0000-000006000000}" name="Capital pendiente" dataDxfId="2">
      <calculatedColumnFormula>IF(B17&lt;=$B$5*$B$6,$B$3-F17,"")</calculatedColumnFormula>
    </tableColumn>
    <tableColumn id="7" xr3:uid="{00000000-0010-0000-0000-000007000000}" name="Importe de la comisión de cancelación" dataDxfId="1">
      <calculatedColumnFormula>IF(G17="","",$C$11*G17)</calculatedColumnFormula>
    </tableColumn>
    <tableColumn id="8" xr3:uid="{00000000-0010-0000-0000-000008000000}" name="Coste de cancelación" dataDxfId="0">
      <calculatedColumnFormula>IF(H17="","",G17+H17)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Business Blue">
  <a:themeElements>
    <a:clrScheme name="Business Templates - Non Blue">
      <a:dk1>
        <a:sysClr val="windowText" lastClr="000000"/>
      </a:dk1>
      <a:lt1>
        <a:sysClr val="window" lastClr="FFFFFF"/>
      </a:lt1>
      <a:dk2>
        <a:srgbClr val="00292E"/>
      </a:dk2>
      <a:lt2>
        <a:srgbClr val="64B2C1"/>
      </a:lt2>
      <a:accent1>
        <a:srgbClr val="F0CDA1"/>
      </a:accent1>
      <a:accent2>
        <a:srgbClr val="107082"/>
      </a:accent2>
      <a:accent3>
        <a:srgbClr val="054854"/>
      </a:accent3>
      <a:accent4>
        <a:srgbClr val="00AEEF"/>
      </a:accent4>
      <a:accent5>
        <a:srgbClr val="F99927"/>
      </a:accent5>
      <a:accent6>
        <a:srgbClr val="EC7216"/>
      </a:accent6>
      <a:hlink>
        <a:srgbClr val="000000"/>
      </a:hlink>
      <a:folHlink>
        <a:srgbClr val="000000"/>
      </a:folHlink>
    </a:clrScheme>
    <a:fontScheme name="Custom 37">
      <a:majorFont>
        <a:latin typeface="Gill Sans MT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6350" cmpd="sng">
          <a:noFill/>
        </a:ln>
      </a:spPr>
      <a:bodyPr vertOverflow="clip" horzOverflow="clip" wrap="square" rtlCol="0" anchor="b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2000">
            <a:solidFill>
              <a:schemeClr val="accent1"/>
            </a:solidFill>
            <a:latin typeface="+mj-lt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"/>
  <sheetViews>
    <sheetView workbookViewId="0">
      <selection activeCell="C5" sqref="C5"/>
    </sheetView>
  </sheetViews>
  <sheetFormatPr defaultColWidth="11" defaultRowHeight="13.8"/>
  <cols>
    <col min="1" max="1" width="11" style="65"/>
    <col min="2" max="2" width="31.59765625" style="65" customWidth="1"/>
    <col min="3" max="3" width="86.3984375" style="65" customWidth="1"/>
    <col min="4" max="16384" width="11" style="65"/>
  </cols>
  <sheetData>
    <row r="1" spans="2:3" ht="108.75" customHeight="1"/>
    <row r="2" spans="2:3" ht="30" customHeight="1">
      <c r="B2" s="134" t="s">
        <v>72</v>
      </c>
      <c r="C2" s="135"/>
    </row>
    <row r="3" spans="2:3" ht="30" customHeight="1">
      <c r="B3" s="67" t="s">
        <v>45</v>
      </c>
      <c r="C3" s="66"/>
    </row>
    <row r="4" spans="2:3" ht="30" customHeight="1">
      <c r="B4" s="68" t="s">
        <v>42</v>
      </c>
      <c r="C4" s="66"/>
    </row>
    <row r="5" spans="2:3" ht="30" customHeight="1">
      <c r="B5" s="68" t="s">
        <v>43</v>
      </c>
      <c r="C5" s="66"/>
    </row>
    <row r="6" spans="2:3" ht="30" customHeight="1">
      <c r="B6" s="68" t="s">
        <v>44</v>
      </c>
      <c r="C6" s="66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249977111117893"/>
  </sheetPr>
  <dimension ref="B1:E56"/>
  <sheetViews>
    <sheetView showGridLines="0" topLeftCell="A32" zoomScaleNormal="100" workbookViewId="0">
      <selection activeCell="C45" sqref="C45"/>
    </sheetView>
  </sheetViews>
  <sheetFormatPr defaultColWidth="9" defaultRowHeight="15" customHeight="1"/>
  <cols>
    <col min="1" max="1" width="1.59765625" style="24" customWidth="1"/>
    <col min="2" max="2" width="43.5" style="24" customWidth="1"/>
    <col min="3" max="3" width="26.19921875" style="24" customWidth="1"/>
    <col min="4" max="4" width="30.59765625" style="27" customWidth="1"/>
    <col min="5" max="5" width="19.09765625" style="24" customWidth="1"/>
    <col min="6" max="16384" width="9" style="24"/>
  </cols>
  <sheetData>
    <row r="1" spans="2:5" s="8" customFormat="1" ht="21" customHeight="1">
      <c r="B1" s="136">
        <f>+DATOS!C5</f>
        <v>0</v>
      </c>
      <c r="C1" s="136"/>
      <c r="D1" s="136"/>
      <c r="E1" s="8" t="s">
        <v>16</v>
      </c>
    </row>
    <row r="2" spans="2:5" s="8" customFormat="1" ht="24" customHeight="1">
      <c r="B2" s="136"/>
      <c r="C2" s="136"/>
      <c r="D2" s="136"/>
    </row>
    <row r="3" spans="2:5" ht="27.75" customHeight="1">
      <c r="B3" s="22" t="s">
        <v>17</v>
      </c>
      <c r="C3" s="40" t="s">
        <v>46</v>
      </c>
      <c r="D3" s="40" t="s">
        <v>37</v>
      </c>
    </row>
    <row r="4" spans="2:5" s="8" customFormat="1" ht="3.75" customHeight="1">
      <c r="D4" s="9"/>
    </row>
    <row r="5" spans="2:5" ht="21" customHeight="1">
      <c r="B5" s="25" t="s">
        <v>74</v>
      </c>
      <c r="C5" s="25"/>
      <c r="D5" s="26"/>
    </row>
    <row r="6" spans="2:5" ht="3.9" customHeight="1"/>
    <row r="7" spans="2:5" ht="15" customHeight="1">
      <c r="B7" s="28" t="s">
        <v>75</v>
      </c>
      <c r="C7" s="48"/>
      <c r="D7" s="1"/>
    </row>
    <row r="8" spans="2:5" ht="15" customHeight="1">
      <c r="B8" s="28" t="s">
        <v>76</v>
      </c>
      <c r="C8" s="47"/>
      <c r="D8" s="47"/>
    </row>
    <row r="9" spans="2:5" ht="15" customHeight="1">
      <c r="B9" s="28" t="s">
        <v>70</v>
      </c>
      <c r="C9" s="48"/>
      <c r="D9" s="48"/>
    </row>
    <row r="10" spans="2:5" ht="15" customHeight="1">
      <c r="B10" s="28" t="s">
        <v>77</v>
      </c>
      <c r="C10" s="47"/>
      <c r="D10" s="47"/>
    </row>
    <row r="11" spans="2:5" ht="15" customHeight="1">
      <c r="B11" s="28" t="s">
        <v>69</v>
      </c>
      <c r="C11" s="48"/>
      <c r="D11" s="48"/>
    </row>
    <row r="12" spans="2:5" ht="15" customHeight="1">
      <c r="B12" s="28" t="s">
        <v>18</v>
      </c>
      <c r="C12" s="49"/>
      <c r="D12" s="49"/>
    </row>
    <row r="13" spans="2:5" ht="15" customHeight="1">
      <c r="B13" s="28" t="s">
        <v>86</v>
      </c>
      <c r="C13" s="48"/>
      <c r="D13" s="1">
        <v>0</v>
      </c>
    </row>
    <row r="14" spans="2:5" ht="15" customHeight="1">
      <c r="B14" s="29" t="s">
        <v>10</v>
      </c>
      <c r="C14" s="51">
        <f>SUM(C7:C13)</f>
        <v>0</v>
      </c>
      <c r="D14" s="51">
        <f>SUM(D7:D13)</f>
        <v>0</v>
      </c>
    </row>
    <row r="15" spans="2:5" ht="21" customHeight="1">
      <c r="B15" s="25" t="s">
        <v>73</v>
      </c>
      <c r="C15" s="25"/>
      <c r="D15" s="3"/>
    </row>
    <row r="16" spans="2:5" ht="3.9" customHeight="1">
      <c r="D16" s="1"/>
    </row>
    <row r="17" spans="2:4" ht="15" customHeight="1">
      <c r="B17" s="28" t="s">
        <v>78</v>
      </c>
      <c r="C17" s="47"/>
      <c r="D17" s="47"/>
    </row>
    <row r="18" spans="2:4" ht="15" customHeight="1">
      <c r="B18" s="28" t="s">
        <v>91</v>
      </c>
      <c r="C18" s="47"/>
      <c r="D18" s="47">
        <f>+D17*12.15%</f>
        <v>0</v>
      </c>
    </row>
    <row r="19" spans="2:4" ht="15" customHeight="1">
      <c r="B19" s="28" t="s">
        <v>92</v>
      </c>
      <c r="C19" s="48"/>
      <c r="D19" s="48">
        <v>0</v>
      </c>
    </row>
    <row r="20" spans="2:4" ht="15" customHeight="1">
      <c r="B20" s="28" t="s">
        <v>82</v>
      </c>
      <c r="C20" s="47"/>
      <c r="D20" s="47"/>
    </row>
    <row r="21" spans="2:4" ht="15" customHeight="1">
      <c r="B21" s="28" t="s">
        <v>83</v>
      </c>
      <c r="C21" s="48"/>
      <c r="D21" s="48"/>
    </row>
    <row r="22" spans="2:4" ht="15" customHeight="1">
      <c r="B22" s="28" t="s">
        <v>84</v>
      </c>
      <c r="C22" s="47"/>
      <c r="D22" s="47"/>
    </row>
    <row r="23" spans="2:4" ht="15" customHeight="1">
      <c r="B23" s="28" t="s">
        <v>89</v>
      </c>
      <c r="C23" s="48"/>
      <c r="D23" s="48"/>
    </row>
    <row r="24" spans="2:4" ht="15" customHeight="1">
      <c r="B24" s="28" t="s">
        <v>90</v>
      </c>
      <c r="C24" s="47"/>
      <c r="D24" s="47"/>
    </row>
    <row r="25" spans="2:4" ht="15" customHeight="1">
      <c r="B25" s="28" t="s">
        <v>93</v>
      </c>
      <c r="C25" s="48"/>
      <c r="D25" s="48"/>
    </row>
    <row r="26" spans="2:4" ht="15" customHeight="1">
      <c r="B26" s="28" t="s">
        <v>3</v>
      </c>
      <c r="C26" s="47"/>
      <c r="D26" s="47"/>
    </row>
    <row r="27" spans="2:4" ht="15" customHeight="1">
      <c r="B27" s="29" t="s">
        <v>10</v>
      </c>
      <c r="C27" s="50">
        <f>SUM(C17:C26)</f>
        <v>0</v>
      </c>
      <c r="D27" s="50">
        <f>SUM(D17:D26)</f>
        <v>0</v>
      </c>
    </row>
    <row r="28" spans="2:4" ht="21" customHeight="1">
      <c r="B28" s="25" t="s">
        <v>88</v>
      </c>
      <c r="C28" s="25"/>
      <c r="D28" s="3"/>
    </row>
    <row r="29" spans="2:4" ht="3.9" customHeight="1">
      <c r="D29" s="1"/>
    </row>
    <row r="30" spans="2:4" ht="15" customHeight="1">
      <c r="B30" s="28" t="s">
        <v>85</v>
      </c>
      <c r="C30" s="47"/>
      <c r="D30" s="47"/>
    </row>
    <row r="31" spans="2:4" ht="15" customHeight="1">
      <c r="B31" s="28" t="s">
        <v>19</v>
      </c>
      <c r="C31" s="48"/>
      <c r="D31" s="48"/>
    </row>
    <row r="32" spans="2:4" ht="15" customHeight="1">
      <c r="B32" s="28" t="s">
        <v>20</v>
      </c>
      <c r="C32" s="47"/>
      <c r="D32" s="47"/>
    </row>
    <row r="33" spans="2:4" ht="15" customHeight="1">
      <c r="B33" s="28" t="s">
        <v>21</v>
      </c>
      <c r="C33" s="48"/>
      <c r="D33" s="48"/>
    </row>
    <row r="34" spans="2:4" ht="15" customHeight="1">
      <c r="B34" s="28" t="s">
        <v>22</v>
      </c>
      <c r="C34" s="47"/>
      <c r="D34" s="47"/>
    </row>
    <row r="35" spans="2:4" ht="15" customHeight="1">
      <c r="B35" s="28" t="s">
        <v>23</v>
      </c>
      <c r="C35" s="48"/>
      <c r="D35" s="48"/>
    </row>
    <row r="36" spans="2:4" ht="15" customHeight="1">
      <c r="B36" s="28" t="s">
        <v>24</v>
      </c>
      <c r="C36" s="47"/>
      <c r="D36" s="47"/>
    </row>
    <row r="37" spans="2:4" ht="15" customHeight="1">
      <c r="B37" s="28" t="s">
        <v>3</v>
      </c>
      <c r="C37" s="48"/>
      <c r="D37" s="48"/>
    </row>
    <row r="38" spans="2:4" ht="15" customHeight="1">
      <c r="B38" s="29" t="s">
        <v>10</v>
      </c>
      <c r="C38" s="50">
        <f>SUM(C30:C37)</f>
        <v>0</v>
      </c>
      <c r="D38" s="50">
        <f>SUM(D30:D37)</f>
        <v>0</v>
      </c>
    </row>
    <row r="39" spans="2:4" ht="21" customHeight="1">
      <c r="B39" s="25" t="s">
        <v>79</v>
      </c>
      <c r="C39" s="25"/>
      <c r="D39" s="3"/>
    </row>
    <row r="40" spans="2:4" ht="3.9" customHeight="1">
      <c r="D40" s="1"/>
    </row>
    <row r="41" spans="2:4" ht="15" customHeight="1">
      <c r="B41" s="28" t="s">
        <v>80</v>
      </c>
      <c r="C41" s="48"/>
      <c r="D41" s="48"/>
    </row>
    <row r="42" spans="2:4" ht="15" customHeight="1">
      <c r="B42" s="28" t="s">
        <v>81</v>
      </c>
      <c r="C42" s="47"/>
      <c r="D42" s="47"/>
    </row>
    <row r="43" spans="2:4" ht="15" customHeight="1">
      <c r="B43" s="28" t="s">
        <v>87</v>
      </c>
      <c r="C43" s="48"/>
      <c r="D43" s="48"/>
    </row>
    <row r="44" spans="2:4" ht="15" customHeight="1">
      <c r="B44" s="28" t="s">
        <v>94</v>
      </c>
      <c r="C44" s="47"/>
      <c r="D44" s="47"/>
    </row>
    <row r="45" spans="2:4" ht="15" customHeight="1">
      <c r="B45" s="29" t="s">
        <v>10</v>
      </c>
      <c r="C45" s="50">
        <f>SUM(C41:C44)</f>
        <v>0</v>
      </c>
      <c r="D45" s="50">
        <f>SUM(D41:D44)</f>
        <v>0</v>
      </c>
    </row>
    <row r="46" spans="2:4" ht="21" customHeight="1">
      <c r="B46" s="25" t="s">
        <v>3</v>
      </c>
      <c r="C46" s="25"/>
      <c r="D46" s="3"/>
    </row>
    <row r="47" spans="2:4" ht="3.9" customHeight="1">
      <c r="D47" s="1"/>
    </row>
    <row r="48" spans="2:4" ht="15" customHeight="1">
      <c r="B48" s="28" t="s">
        <v>98</v>
      </c>
      <c r="C48" s="28"/>
      <c r="D48" s="1">
        <v>0</v>
      </c>
    </row>
    <row r="49" spans="2:4" ht="15" customHeight="1">
      <c r="B49" s="28" t="s">
        <v>25</v>
      </c>
      <c r="C49" s="2"/>
      <c r="D49" s="2"/>
    </row>
    <row r="50" spans="2:4" ht="15" customHeight="1">
      <c r="B50" s="28" t="s">
        <v>3</v>
      </c>
      <c r="C50" s="1"/>
      <c r="D50" s="1"/>
    </row>
    <row r="51" spans="2:4" ht="15" customHeight="1">
      <c r="B51" s="28" t="s">
        <v>3</v>
      </c>
      <c r="C51" s="2"/>
      <c r="D51" s="2"/>
    </row>
    <row r="52" spans="2:4" ht="15" customHeight="1">
      <c r="B52" s="28" t="s">
        <v>3</v>
      </c>
      <c r="C52" s="1"/>
      <c r="D52" s="1"/>
    </row>
    <row r="53" spans="2:4" ht="15" customHeight="1">
      <c r="B53" s="29" t="s">
        <v>10</v>
      </c>
      <c r="C53" s="50">
        <f>SUM(C48:C52)</f>
        <v>0</v>
      </c>
      <c r="D53" s="50">
        <f>SUM(D48:D52)</f>
        <v>0</v>
      </c>
    </row>
    <row r="54" spans="2:4" s="8" customFormat="1" ht="21" customHeight="1">
      <c r="D54" s="4"/>
    </row>
    <row r="55" spans="2:4" ht="21" customHeight="1">
      <c r="B55" s="31"/>
      <c r="C55" s="31" t="s">
        <v>71</v>
      </c>
      <c r="D55" s="52">
        <f>+C14+C27+C38+C45+C53</f>
        <v>0</v>
      </c>
    </row>
    <row r="56" spans="2:4" ht="20.25" customHeight="1">
      <c r="C56" s="31" t="s">
        <v>95</v>
      </c>
      <c r="D56" s="52">
        <f>+D14+D27+D38+D45+D53</f>
        <v>0</v>
      </c>
    </row>
  </sheetData>
  <mergeCells count="1">
    <mergeCell ref="B1:D2"/>
  </mergeCells>
  <phoneticPr fontId="14" type="noConversion"/>
  <dataValidations count="3">
    <dataValidation allowBlank="1" showInputMessage="1" showErrorMessage="1" prompt="Escriba el nombre de la empresa._x000a__x000a_Introduzca datos de gastos en Fecha de vencimiento en la columna C, Presupuesto en la columna D y Real en la columna E." sqref="A1" xr:uid="{00000000-0002-0000-0100-000000000000}"/>
    <dataValidation allowBlank="1" showInputMessage="1" showErrorMessage="1" prompt="Escriba los datos de Gastos en las columnas Fecha de vencimiento, Presupuesto y Real" sqref="B3:D3" xr:uid="{00000000-0002-0000-0100-000001000000}"/>
    <dataValidation type="custom" allowBlank="1" showInputMessage="1" showErrorMessage="1" sqref="C14" xr:uid="{00000000-0002-0000-0100-000002000000}">
      <formula1>C14</formula1>
    </dataValidation>
  </dataValidations>
  <printOptions horizontalCentered="1"/>
  <pageMargins left="0.7" right="0.7" top="0.5" bottom="0.5" header="0.3" footer="0.3"/>
  <pageSetup paperSize="9" scale="79" orientation="portrait" horizontalDpi="300" verticalDpi="300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3"/>
  <sheetViews>
    <sheetView showGridLines="0" topLeftCell="A19" zoomScaleNormal="100" workbookViewId="0">
      <selection activeCell="F39" sqref="F39"/>
    </sheetView>
  </sheetViews>
  <sheetFormatPr defaultColWidth="9" defaultRowHeight="15" customHeight="1"/>
  <cols>
    <col min="1" max="1" width="5.3984375" style="24" customWidth="1"/>
    <col min="2" max="2" width="5.5" style="24" customWidth="1"/>
    <col min="3" max="3" width="40.5" style="24" customWidth="1"/>
    <col min="4" max="4" width="20.19921875" style="27" customWidth="1"/>
    <col min="5" max="5" width="19.19921875" style="24" customWidth="1"/>
    <col min="6" max="16384" width="9" style="24"/>
  </cols>
  <sheetData>
    <row r="1" spans="2:5" s="8" customFormat="1" ht="37.5" customHeight="1">
      <c r="B1" s="139">
        <f>+DATOS!C5</f>
        <v>0</v>
      </c>
      <c r="C1" s="139"/>
      <c r="D1" s="139"/>
      <c r="E1" s="139"/>
    </row>
    <row r="2" spans="2:5" s="8" customFormat="1" ht="25.5" customHeight="1">
      <c r="B2" s="137" t="s">
        <v>0</v>
      </c>
      <c r="C2" s="137"/>
      <c r="D2" s="138" t="s">
        <v>37</v>
      </c>
      <c r="E2" s="40" t="s">
        <v>39</v>
      </c>
    </row>
    <row r="3" spans="2:5" ht="18.75" customHeight="1">
      <c r="B3" s="137"/>
      <c r="C3" s="137"/>
      <c r="D3" s="138"/>
      <c r="E3" s="41">
        <v>3</v>
      </c>
    </row>
    <row r="4" spans="2:5" s="8" customFormat="1" ht="15" customHeight="1">
      <c r="D4" s="9"/>
    </row>
    <row r="5" spans="2:5" ht="21" customHeight="1">
      <c r="C5" s="33" t="s">
        <v>2</v>
      </c>
      <c r="D5" s="34">
        <f>SUM(D7:D11)</f>
        <v>0</v>
      </c>
      <c r="E5" s="34">
        <f>SUM(E7:E11)</f>
        <v>0</v>
      </c>
    </row>
    <row r="6" spans="2:5" s="8" customFormat="1" ht="3.9" customHeight="1">
      <c r="D6" s="9"/>
    </row>
    <row r="7" spans="2:5" ht="15" customHeight="1">
      <c r="C7" s="28" t="str">
        <f>+Gastos!B5</f>
        <v>Gastos Generales de Inicio</v>
      </c>
      <c r="D7" s="70">
        <f>+Gastos!D14+Gastos!C14</f>
        <v>0</v>
      </c>
      <c r="E7" s="70">
        <f>Gastos!D14*$E$3</f>
        <v>0</v>
      </c>
    </row>
    <row r="8" spans="2:5" ht="15" customHeight="1">
      <c r="C8" s="28" t="str">
        <f>+Gastos!B15</f>
        <v>Gastos Administrativos</v>
      </c>
      <c r="D8" s="35">
        <f>+Gastos!D27+Gastos!C27</f>
        <v>0</v>
      </c>
      <c r="E8" s="35">
        <f>+Gastos!D27*E3</f>
        <v>0</v>
      </c>
    </row>
    <row r="9" spans="2:5" ht="15" customHeight="1">
      <c r="C9" s="28" t="str">
        <f>+Gastos!B28</f>
        <v>Gastos Marketing y Ventas</v>
      </c>
      <c r="D9" s="70">
        <f>+Gastos!D38+Gastos!C38</f>
        <v>0</v>
      </c>
      <c r="E9" s="70">
        <f>+Gastos!D38*E3</f>
        <v>0</v>
      </c>
    </row>
    <row r="10" spans="2:5" ht="15" customHeight="1">
      <c r="C10" s="28" t="str">
        <f>+Gastos!B39</f>
        <v>Gastos Financieros</v>
      </c>
      <c r="D10" s="35">
        <f>+Gastos!D45+Gastos!C45</f>
        <v>0</v>
      </c>
      <c r="E10" s="35">
        <f>+Gastos!D45*E3</f>
        <v>0</v>
      </c>
    </row>
    <row r="11" spans="2:5" ht="15" customHeight="1">
      <c r="C11" s="28" t="str">
        <f>+Gastos!B46</f>
        <v>Otros</v>
      </c>
      <c r="D11" s="70">
        <f>+Gastos!D53+Gastos!C53</f>
        <v>0</v>
      </c>
      <c r="E11" s="70">
        <f>+Gastos!D53*E3</f>
        <v>0</v>
      </c>
    </row>
    <row r="12" spans="2:5" ht="15" customHeight="1">
      <c r="E12" s="27"/>
    </row>
    <row r="13" spans="2:5" ht="15" customHeight="1">
      <c r="C13" s="33" t="s">
        <v>96</v>
      </c>
      <c r="D13" s="111">
        <f>+D5+E5</f>
        <v>0</v>
      </c>
      <c r="E13" s="27"/>
    </row>
    <row r="14" spans="2:5" s="8" customFormat="1" ht="27" customHeight="1">
      <c r="D14" s="9"/>
      <c r="E14" s="9"/>
    </row>
    <row r="15" spans="2:5" ht="15" customHeight="1">
      <c r="C15" s="28" t="s">
        <v>4</v>
      </c>
      <c r="D15" s="118"/>
      <c r="E15" s="27"/>
    </row>
    <row r="16" spans="2:5" ht="15" customHeight="1">
      <c r="C16" s="28" t="s">
        <v>5</v>
      </c>
      <c r="D16" s="119"/>
      <c r="E16" s="43"/>
    </row>
    <row r="17" spans="2:5" ht="15" customHeight="1">
      <c r="C17" s="28" t="s">
        <v>6</v>
      </c>
      <c r="D17" s="118"/>
      <c r="E17" s="27"/>
    </row>
    <row r="18" spans="2:5" ht="15" customHeight="1">
      <c r="D18" s="24"/>
    </row>
    <row r="19" spans="2:5" ht="21" customHeight="1">
      <c r="C19" s="33" t="s">
        <v>99</v>
      </c>
      <c r="D19" s="34">
        <f>+D5+E5-D15</f>
        <v>0</v>
      </c>
      <c r="E19" s="42"/>
    </row>
    <row r="20" spans="2:5" s="8" customFormat="1" ht="30" customHeight="1">
      <c r="D20" s="9"/>
    </row>
    <row r="21" spans="2:5" ht="24" customHeight="1">
      <c r="B21" s="22" t="s">
        <v>1</v>
      </c>
      <c r="C21" s="32"/>
      <c r="D21" s="23" t="s">
        <v>15</v>
      </c>
    </row>
    <row r="22" spans="2:5" s="8" customFormat="1" ht="3.9" customHeight="1">
      <c r="D22" s="9"/>
    </row>
    <row r="23" spans="2:5" s="36" customFormat="1" ht="21" customHeight="1">
      <c r="C23" s="25" t="s">
        <v>4</v>
      </c>
      <c r="D23" s="37"/>
    </row>
    <row r="24" spans="2:5" s="8" customFormat="1" ht="3.9" customHeight="1">
      <c r="D24" s="9"/>
    </row>
    <row r="25" spans="2:5" ht="15" customHeight="1">
      <c r="C25" s="28" t="s">
        <v>7</v>
      </c>
      <c r="D25" s="71"/>
    </row>
    <row r="26" spans="2:5" ht="15" customHeight="1">
      <c r="C26" s="28" t="s">
        <v>8</v>
      </c>
      <c r="D26" s="35"/>
    </row>
    <row r="27" spans="2:5" ht="15" customHeight="1">
      <c r="C27" s="28" t="s">
        <v>9</v>
      </c>
      <c r="D27" s="71"/>
    </row>
    <row r="28" spans="2:5" ht="15" customHeight="1">
      <c r="C28" s="28" t="s">
        <v>3</v>
      </c>
      <c r="D28" s="35"/>
    </row>
    <row r="29" spans="2:5" ht="15" customHeight="1">
      <c r="C29" s="29" t="s">
        <v>10</v>
      </c>
      <c r="D29" s="30">
        <f>SUM(D25:D28)</f>
        <v>0</v>
      </c>
    </row>
    <row r="30" spans="2:5" s="36" customFormat="1" ht="21" customHeight="1">
      <c r="C30" s="25" t="s">
        <v>5</v>
      </c>
      <c r="D30" s="37"/>
    </row>
    <row r="31" spans="2:5" s="8" customFormat="1" ht="3.9" customHeight="1">
      <c r="D31" s="9"/>
    </row>
    <row r="32" spans="2:5" s="8" customFormat="1" ht="20.25" customHeight="1">
      <c r="D32" s="9"/>
    </row>
    <row r="33" spans="3:4" ht="15" customHeight="1">
      <c r="C33" s="28" t="s">
        <v>11</v>
      </c>
      <c r="D33" s="71">
        <f>+(D5+E5)-D29</f>
        <v>0</v>
      </c>
    </row>
    <row r="34" spans="3:4" ht="15" customHeight="1">
      <c r="C34" s="28" t="s">
        <v>12</v>
      </c>
      <c r="D34" s="35"/>
    </row>
    <row r="35" spans="3:4" ht="15" customHeight="1">
      <c r="C35" s="28" t="s">
        <v>3</v>
      </c>
      <c r="D35" s="71">
        <v>0</v>
      </c>
    </row>
    <row r="36" spans="3:4" ht="15" customHeight="1">
      <c r="C36" s="29" t="s">
        <v>10</v>
      </c>
      <c r="D36" s="30">
        <f>SUM(D33:D35)</f>
        <v>0</v>
      </c>
    </row>
    <row r="37" spans="3:4" s="36" customFormat="1" ht="21" customHeight="1">
      <c r="C37" s="25" t="s">
        <v>6</v>
      </c>
      <c r="D37" s="37"/>
    </row>
    <row r="38" spans="3:4" s="8" customFormat="1" ht="3.9" customHeight="1">
      <c r="D38" s="9"/>
    </row>
    <row r="39" spans="3:4" ht="15" customHeight="1">
      <c r="C39" s="28" t="s">
        <v>13</v>
      </c>
    </row>
    <row r="40" spans="3:4" ht="15" customHeight="1">
      <c r="C40" s="28" t="s">
        <v>3</v>
      </c>
      <c r="D40" s="72"/>
    </row>
    <row r="41" spans="3:4" ht="15" customHeight="1">
      <c r="C41" s="29" t="s">
        <v>10</v>
      </c>
      <c r="D41" s="30">
        <f>SUM(D39:D40)</f>
        <v>0</v>
      </c>
    </row>
    <row r="42" spans="3:4" s="8" customFormat="1" ht="21" customHeight="1">
      <c r="D42" s="9"/>
    </row>
    <row r="43" spans="3:4" ht="21" customHeight="1">
      <c r="C43" s="38" t="s">
        <v>14</v>
      </c>
      <c r="D43" s="34">
        <f>+D19</f>
        <v>0</v>
      </c>
    </row>
  </sheetData>
  <mergeCells count="3">
    <mergeCell ref="B2:C3"/>
    <mergeCell ref="D2:D3"/>
    <mergeCell ref="B1:E1"/>
  </mergeCells>
  <phoneticPr fontId="14" type="noConversion"/>
  <dataValidations count="5">
    <dataValidation allowBlank="1" showInputMessage="1" showErrorMessage="1" prompt="Esta sección se actualiza automáticamente a partir de los datos de la sección FINANCIAMIENTO DE STARTUP que aparece a continuación y de los datos de la sección GASTOS DE STARTUP en la pestaña siguiente." sqref="B2 D2:E2 E3" xr:uid="{00000000-0002-0000-0200-000000000000}"/>
    <dataValidation allowBlank="1" showInputMessage="1" showErrorMessage="1" prompt="Los datos de gastos se actualizan automáticamente a partir de la sección GASTOS DE STARTUP en la siguiente pestaña" sqref="C5" xr:uid="{00000000-0002-0000-0200-000001000000}"/>
    <dataValidation allowBlank="1" showInputMessage="1" showErrorMessage="1" prompt="Los datos de financiación se calcula automáticamente a partir de los datos FINANCIACIÓN DE STARTUP en la siguiente sección" sqref="C13" xr:uid="{00000000-0002-0000-0200-000002000000}"/>
    <dataValidation allowBlank="1" showInputMessage="1" showErrorMessage="1" prompt="Introduzca valores de Financiación en las columnas Presupuesto y Real" sqref="B21:D21" xr:uid="{00000000-0002-0000-0200-000003000000}"/>
    <dataValidation allowBlank="1" showInputMessage="1" showErrorMessage="1" prompt="Escriba el nombre de la empresa._x000a__x000a_Las cifras de esta hoja como Presupuesto (columna D) y Real (columna E) se rellenan automáticamente a partir de las hojas Gastos y Beneficios y pérdidas, así como las de Déficit/Superávit (columna F)." sqref="A1" xr:uid="{00000000-0002-0000-0200-000004000000}"/>
  </dataValidations>
  <printOptions horizontalCentered="1"/>
  <pageMargins left="0.7" right="0.7" top="0.5" bottom="0.5" header="0.3" footer="0.3"/>
  <pageSetup paperSize="9" scale="7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showGridLines="0" topLeftCell="B20" zoomScale="80" zoomScaleNormal="80" workbookViewId="0">
      <selection activeCell="J34" sqref="J34"/>
    </sheetView>
  </sheetViews>
  <sheetFormatPr defaultColWidth="9" defaultRowHeight="33" customHeight="1"/>
  <cols>
    <col min="1" max="1" width="10.09765625" style="5" customWidth="1"/>
    <col min="2" max="2" width="28.59765625" style="6" customWidth="1"/>
    <col min="3" max="14" width="14.69921875" style="7" customWidth="1"/>
    <col min="15" max="15" width="21.59765625" style="7" customWidth="1"/>
    <col min="16" max="16" width="1.59765625" style="5" customWidth="1"/>
    <col min="17" max="16384" width="9" style="5"/>
  </cols>
  <sheetData>
    <row r="1" spans="1:16" ht="21.75" customHeight="1"/>
    <row r="2" spans="1:16" ht="26.25" customHeight="1">
      <c r="A2" s="8"/>
      <c r="B2" s="140"/>
      <c r="C2" s="140"/>
      <c r="D2" s="140"/>
      <c r="E2" s="140"/>
      <c r="F2" s="9"/>
      <c r="G2" s="8" t="s">
        <v>16</v>
      </c>
      <c r="H2" s="8"/>
      <c r="P2" s="5" t="s">
        <v>16</v>
      </c>
    </row>
    <row r="3" spans="1:16" ht="33" customHeight="1">
      <c r="B3" s="136">
        <f>+DATOS!C5</f>
        <v>0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5" spans="1:16" s="10" customFormat="1" ht="24.9" customHeight="1">
      <c r="B5" s="69" t="s">
        <v>26</v>
      </c>
      <c r="C5" s="44">
        <f ca="1">DATE(YEAR(TODAY()),1,1)</f>
        <v>45658</v>
      </c>
      <c r="D5" s="44">
        <f ca="1">DATE(YEAR(C5),MONTH(C5)+1,1)</f>
        <v>45689</v>
      </c>
      <c r="E5" s="44">
        <f t="shared" ref="E5:N5" ca="1" si="0">DATE(YEAR(D5),MONTH(D5)+1,1)</f>
        <v>45717</v>
      </c>
      <c r="F5" s="44">
        <f t="shared" ca="1" si="0"/>
        <v>45748</v>
      </c>
      <c r="G5" s="44">
        <f t="shared" ca="1" si="0"/>
        <v>45778</v>
      </c>
      <c r="H5" s="44">
        <f t="shared" ca="1" si="0"/>
        <v>45809</v>
      </c>
      <c r="I5" s="44">
        <f t="shared" ca="1" si="0"/>
        <v>45839</v>
      </c>
      <c r="J5" s="44">
        <f t="shared" ca="1" si="0"/>
        <v>45870</v>
      </c>
      <c r="K5" s="44">
        <f t="shared" ca="1" si="0"/>
        <v>45901</v>
      </c>
      <c r="L5" s="44">
        <f t="shared" ca="1" si="0"/>
        <v>45931</v>
      </c>
      <c r="M5" s="44">
        <f t="shared" ca="1" si="0"/>
        <v>45962</v>
      </c>
      <c r="N5" s="44">
        <f t="shared" ca="1" si="0"/>
        <v>45992</v>
      </c>
      <c r="O5" s="64" t="s">
        <v>36</v>
      </c>
    </row>
    <row r="6" spans="1:16" ht="24.9" customHeight="1">
      <c r="A6" s="8"/>
      <c r="B6" s="69" t="s">
        <v>40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45"/>
    </row>
    <row r="7" spans="1:16" ht="24.9" customHeight="1">
      <c r="A7" s="8"/>
      <c r="B7" s="69" t="s">
        <v>41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5"/>
    </row>
    <row r="8" spans="1:16" ht="33" customHeight="1">
      <c r="B8" s="62" t="s">
        <v>27</v>
      </c>
      <c r="C8" s="63">
        <f>+C6*C7</f>
        <v>0</v>
      </c>
      <c r="D8" s="63">
        <f t="shared" ref="D8:N8" si="1">+D6*D7</f>
        <v>0</v>
      </c>
      <c r="E8" s="63">
        <f t="shared" si="1"/>
        <v>0</v>
      </c>
      <c r="F8" s="63">
        <f t="shared" si="1"/>
        <v>0</v>
      </c>
      <c r="G8" s="63">
        <f t="shared" si="1"/>
        <v>0</v>
      </c>
      <c r="H8" s="63">
        <f t="shared" si="1"/>
        <v>0</v>
      </c>
      <c r="I8" s="63">
        <f t="shared" si="1"/>
        <v>0</v>
      </c>
      <c r="J8" s="63">
        <f t="shared" si="1"/>
        <v>0</v>
      </c>
      <c r="K8" s="63">
        <f t="shared" si="1"/>
        <v>0</v>
      </c>
      <c r="L8" s="63">
        <f t="shared" si="1"/>
        <v>0</v>
      </c>
      <c r="M8" s="63">
        <f t="shared" si="1"/>
        <v>0</v>
      </c>
      <c r="N8" s="63">
        <f t="shared" si="1"/>
        <v>0</v>
      </c>
      <c r="O8" s="63">
        <f t="shared" ref="O6:O14" si="2">SUM(C8:N8)</f>
        <v>0</v>
      </c>
    </row>
    <row r="9" spans="1:16" ht="33" customHeight="1">
      <c r="B9" s="62" t="s">
        <v>28</v>
      </c>
      <c r="C9" s="63">
        <f>+C8*0.1</f>
        <v>0</v>
      </c>
      <c r="D9" s="63">
        <f>+D8*0.1</f>
        <v>0</v>
      </c>
      <c r="E9" s="63">
        <f t="shared" ref="E9:N9" si="3">+E8*0.1</f>
        <v>0</v>
      </c>
      <c r="F9" s="63">
        <f t="shared" si="3"/>
        <v>0</v>
      </c>
      <c r="G9" s="63">
        <f t="shared" si="3"/>
        <v>0</v>
      </c>
      <c r="H9" s="63">
        <f t="shared" si="3"/>
        <v>0</v>
      </c>
      <c r="I9" s="63">
        <f t="shared" si="3"/>
        <v>0</v>
      </c>
      <c r="J9" s="63">
        <f t="shared" si="3"/>
        <v>0</v>
      </c>
      <c r="K9" s="63">
        <f t="shared" si="3"/>
        <v>0</v>
      </c>
      <c r="L9" s="63">
        <f t="shared" si="3"/>
        <v>0</v>
      </c>
      <c r="M9" s="63">
        <f t="shared" si="3"/>
        <v>0</v>
      </c>
      <c r="N9" s="63">
        <f t="shared" si="3"/>
        <v>0</v>
      </c>
      <c r="O9" s="63">
        <f t="shared" si="2"/>
        <v>0</v>
      </c>
    </row>
    <row r="10" spans="1:16" ht="33" customHeight="1">
      <c r="B10" s="6" t="s">
        <v>29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f t="shared" si="2"/>
        <v>0</v>
      </c>
    </row>
    <row r="11" spans="1:16" ht="33" customHeight="1">
      <c r="B11" s="13" t="s">
        <v>30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5">
        <f t="shared" si="2"/>
        <v>0</v>
      </c>
    </row>
    <row r="12" spans="1:16" ht="33" customHeight="1">
      <c r="B12" s="113" t="s">
        <v>31</v>
      </c>
      <c r="C12" s="114">
        <f>SUM(C8:C11)</f>
        <v>0</v>
      </c>
      <c r="D12" s="114">
        <f t="shared" ref="D12:N12" si="4">SUM(D8:D11)</f>
        <v>0</v>
      </c>
      <c r="E12" s="114">
        <f t="shared" si="4"/>
        <v>0</v>
      </c>
      <c r="F12" s="114">
        <f t="shared" si="4"/>
        <v>0</v>
      </c>
      <c r="G12" s="114">
        <f t="shared" si="4"/>
        <v>0</v>
      </c>
      <c r="H12" s="114">
        <f t="shared" si="4"/>
        <v>0</v>
      </c>
      <c r="I12" s="114">
        <f t="shared" si="4"/>
        <v>0</v>
      </c>
      <c r="J12" s="114">
        <f t="shared" si="4"/>
        <v>0</v>
      </c>
      <c r="K12" s="114">
        <f t="shared" si="4"/>
        <v>0</v>
      </c>
      <c r="L12" s="114">
        <f t="shared" si="4"/>
        <v>0</v>
      </c>
      <c r="M12" s="114">
        <f t="shared" si="4"/>
        <v>0</v>
      </c>
      <c r="N12" s="114">
        <f t="shared" si="4"/>
        <v>0</v>
      </c>
      <c r="O12" s="115">
        <f t="shared" si="2"/>
        <v>0</v>
      </c>
    </row>
    <row r="13" spans="1:16" ht="33" customHeight="1">
      <c r="B13" s="16" t="s">
        <v>32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>
        <f t="shared" si="2"/>
        <v>0</v>
      </c>
    </row>
    <row r="14" spans="1:16" ht="33" customHeight="1">
      <c r="B14" s="55" t="s">
        <v>33</v>
      </c>
      <c r="C14" s="56">
        <f>C12-C13</f>
        <v>0</v>
      </c>
      <c r="D14" s="56">
        <f t="shared" ref="D14:N14" si="5">D12-D13</f>
        <v>0</v>
      </c>
      <c r="E14" s="56">
        <f t="shared" si="5"/>
        <v>0</v>
      </c>
      <c r="F14" s="56">
        <f t="shared" si="5"/>
        <v>0</v>
      </c>
      <c r="G14" s="56">
        <f t="shared" si="5"/>
        <v>0</v>
      </c>
      <c r="H14" s="56">
        <f t="shared" si="5"/>
        <v>0</v>
      </c>
      <c r="I14" s="56">
        <f t="shared" si="5"/>
        <v>0</v>
      </c>
      <c r="J14" s="56">
        <f t="shared" si="5"/>
        <v>0</v>
      </c>
      <c r="K14" s="56">
        <f t="shared" si="5"/>
        <v>0</v>
      </c>
      <c r="L14" s="56">
        <f t="shared" si="5"/>
        <v>0</v>
      </c>
      <c r="M14" s="56">
        <f t="shared" si="5"/>
        <v>0</v>
      </c>
      <c r="N14" s="56">
        <f t="shared" si="5"/>
        <v>0</v>
      </c>
      <c r="O14" s="57">
        <f t="shared" si="2"/>
        <v>0</v>
      </c>
    </row>
    <row r="16" spans="1:16" s="10" customFormat="1" ht="33" customHeight="1">
      <c r="B16" s="11" t="s">
        <v>34</v>
      </c>
      <c r="C16" s="39">
        <f ca="1">C5</f>
        <v>45658</v>
      </c>
      <c r="D16" s="39">
        <f ca="1">DATE(YEAR(C16),MONTH(C16)+1,1)</f>
        <v>45689</v>
      </c>
      <c r="E16" s="39">
        <f t="shared" ref="E16:N16" ca="1" si="6">DATE(YEAR(D16),MONTH(D16)+1,1)</f>
        <v>45717</v>
      </c>
      <c r="F16" s="39">
        <f t="shared" ca="1" si="6"/>
        <v>45748</v>
      </c>
      <c r="G16" s="39">
        <f t="shared" ca="1" si="6"/>
        <v>45778</v>
      </c>
      <c r="H16" s="39">
        <f t="shared" ca="1" si="6"/>
        <v>45809</v>
      </c>
      <c r="I16" s="39">
        <f t="shared" ca="1" si="6"/>
        <v>45839</v>
      </c>
      <c r="J16" s="39">
        <f t="shared" ca="1" si="6"/>
        <v>45870</v>
      </c>
      <c r="K16" s="39">
        <f t="shared" ca="1" si="6"/>
        <v>45901</v>
      </c>
      <c r="L16" s="39">
        <f t="shared" ca="1" si="6"/>
        <v>45931</v>
      </c>
      <c r="M16" s="39">
        <f t="shared" ca="1" si="6"/>
        <v>45962</v>
      </c>
      <c r="N16" s="39">
        <f t="shared" ca="1" si="6"/>
        <v>45992</v>
      </c>
      <c r="O16" s="12" t="s">
        <v>36</v>
      </c>
    </row>
    <row r="17" spans="2:15" ht="33" customHeight="1">
      <c r="B17" s="53" t="str">
        <f>+'Información general de Startup'!C7</f>
        <v>Gastos Generales de Inicio</v>
      </c>
      <c r="C17" s="54">
        <f>+Gastos!D14+Gastos!C14</f>
        <v>0</v>
      </c>
      <c r="D17" s="54">
        <f>+Gastos!D14</f>
        <v>0</v>
      </c>
      <c r="E17" s="54">
        <f t="shared" ref="E17:N17" si="7">+D17</f>
        <v>0</v>
      </c>
      <c r="F17" s="54">
        <f t="shared" si="7"/>
        <v>0</v>
      </c>
      <c r="G17" s="54">
        <f t="shared" si="7"/>
        <v>0</v>
      </c>
      <c r="H17" s="54">
        <f t="shared" si="7"/>
        <v>0</v>
      </c>
      <c r="I17" s="54">
        <f t="shared" si="7"/>
        <v>0</v>
      </c>
      <c r="J17" s="54">
        <f t="shared" si="7"/>
        <v>0</v>
      </c>
      <c r="K17" s="54">
        <f t="shared" si="7"/>
        <v>0</v>
      </c>
      <c r="L17" s="54">
        <f t="shared" si="7"/>
        <v>0</v>
      </c>
      <c r="M17" s="54">
        <f t="shared" si="7"/>
        <v>0</v>
      </c>
      <c r="N17" s="54">
        <f t="shared" si="7"/>
        <v>0</v>
      </c>
      <c r="O17" s="54">
        <f t="shared" ref="O17:O22" si="8">SUM(C17:N17)</f>
        <v>0</v>
      </c>
    </row>
    <row r="18" spans="2:15" ht="33" customHeight="1">
      <c r="B18" s="59" t="str">
        <f>+Gastos!B15</f>
        <v>Gastos Administrativos</v>
      </c>
      <c r="C18" s="60">
        <f>+Gastos!D27+Gastos!C27</f>
        <v>0</v>
      </c>
      <c r="D18" s="60">
        <f>+Gastos!D27</f>
        <v>0</v>
      </c>
      <c r="E18" s="60">
        <f t="shared" ref="E18:N18" si="9">+D18</f>
        <v>0</v>
      </c>
      <c r="F18" s="60">
        <f t="shared" si="9"/>
        <v>0</v>
      </c>
      <c r="G18" s="60">
        <f t="shared" si="9"/>
        <v>0</v>
      </c>
      <c r="H18" s="60">
        <f t="shared" si="9"/>
        <v>0</v>
      </c>
      <c r="I18" s="60">
        <f t="shared" si="9"/>
        <v>0</v>
      </c>
      <c r="J18" s="60">
        <f t="shared" si="9"/>
        <v>0</v>
      </c>
      <c r="K18" s="60">
        <f t="shared" si="9"/>
        <v>0</v>
      </c>
      <c r="L18" s="60">
        <f t="shared" si="9"/>
        <v>0</v>
      </c>
      <c r="M18" s="60">
        <f t="shared" si="9"/>
        <v>0</v>
      </c>
      <c r="N18" s="60">
        <f t="shared" si="9"/>
        <v>0</v>
      </c>
      <c r="O18" s="61">
        <f t="shared" si="8"/>
        <v>0</v>
      </c>
    </row>
    <row r="19" spans="2:15" ht="33" customHeight="1">
      <c r="B19" s="53" t="str">
        <f>+Gastos!B28</f>
        <v>Gastos Marketing y Ventas</v>
      </c>
      <c r="C19" s="54">
        <f>+Gastos!D38+Gastos!C38</f>
        <v>0</v>
      </c>
      <c r="D19" s="54">
        <f>+Gastos!D38</f>
        <v>0</v>
      </c>
      <c r="E19" s="54">
        <f t="shared" ref="E19:N19" si="10">+D19</f>
        <v>0</v>
      </c>
      <c r="F19" s="54">
        <f t="shared" si="10"/>
        <v>0</v>
      </c>
      <c r="G19" s="54">
        <f t="shared" si="10"/>
        <v>0</v>
      </c>
      <c r="H19" s="54">
        <f t="shared" si="10"/>
        <v>0</v>
      </c>
      <c r="I19" s="54">
        <f t="shared" si="10"/>
        <v>0</v>
      </c>
      <c r="J19" s="54">
        <f t="shared" si="10"/>
        <v>0</v>
      </c>
      <c r="K19" s="54">
        <f t="shared" si="10"/>
        <v>0</v>
      </c>
      <c r="L19" s="54">
        <f t="shared" si="10"/>
        <v>0</v>
      </c>
      <c r="M19" s="54">
        <f t="shared" si="10"/>
        <v>0</v>
      </c>
      <c r="N19" s="54">
        <f t="shared" si="10"/>
        <v>0</v>
      </c>
      <c r="O19" s="54">
        <f t="shared" si="8"/>
        <v>0</v>
      </c>
    </row>
    <row r="20" spans="2:15" ht="33" customHeight="1">
      <c r="B20" s="59" t="str">
        <f>+Gastos!B39</f>
        <v>Gastos Financieros</v>
      </c>
      <c r="C20" s="60">
        <f>+Gastos!D45+Gastos!C45</f>
        <v>0</v>
      </c>
      <c r="D20" s="60">
        <f>+Gastos!D45</f>
        <v>0</v>
      </c>
      <c r="E20" s="60">
        <f t="shared" ref="E20:N20" si="11">+D20</f>
        <v>0</v>
      </c>
      <c r="F20" s="60">
        <f t="shared" si="11"/>
        <v>0</v>
      </c>
      <c r="G20" s="60">
        <f t="shared" si="11"/>
        <v>0</v>
      </c>
      <c r="H20" s="60">
        <f t="shared" si="11"/>
        <v>0</v>
      </c>
      <c r="I20" s="60">
        <f t="shared" si="11"/>
        <v>0</v>
      </c>
      <c r="J20" s="60">
        <f t="shared" si="11"/>
        <v>0</v>
      </c>
      <c r="K20" s="60">
        <f t="shared" si="11"/>
        <v>0</v>
      </c>
      <c r="L20" s="60">
        <f t="shared" si="11"/>
        <v>0</v>
      </c>
      <c r="M20" s="60">
        <f t="shared" si="11"/>
        <v>0</v>
      </c>
      <c r="N20" s="60">
        <f t="shared" si="11"/>
        <v>0</v>
      </c>
      <c r="O20" s="61">
        <f t="shared" si="8"/>
        <v>0</v>
      </c>
    </row>
    <row r="21" spans="2:15" ht="33" customHeight="1" thickBot="1">
      <c r="B21" s="53" t="str">
        <f>+Gastos!B46</f>
        <v>Otros</v>
      </c>
      <c r="C21" s="54">
        <f>+Gastos!D53+Gastos!C53</f>
        <v>0</v>
      </c>
      <c r="D21" s="54">
        <f>+C21</f>
        <v>0</v>
      </c>
      <c r="E21" s="54">
        <f t="shared" ref="E21:N21" si="12">+D21</f>
        <v>0</v>
      </c>
      <c r="F21" s="54">
        <f t="shared" si="12"/>
        <v>0</v>
      </c>
      <c r="G21" s="54">
        <f t="shared" si="12"/>
        <v>0</v>
      </c>
      <c r="H21" s="54">
        <f t="shared" si="12"/>
        <v>0</v>
      </c>
      <c r="I21" s="54">
        <f t="shared" si="12"/>
        <v>0</v>
      </c>
      <c r="J21" s="54">
        <f t="shared" si="12"/>
        <v>0</v>
      </c>
      <c r="K21" s="54">
        <f t="shared" si="12"/>
        <v>0</v>
      </c>
      <c r="L21" s="54">
        <f t="shared" si="12"/>
        <v>0</v>
      </c>
      <c r="M21" s="54">
        <f t="shared" si="12"/>
        <v>0</v>
      </c>
      <c r="N21" s="54">
        <f t="shared" si="12"/>
        <v>0</v>
      </c>
      <c r="O21" s="54">
        <f t="shared" si="8"/>
        <v>0</v>
      </c>
    </row>
    <row r="22" spans="2:15" ht="33" customHeight="1">
      <c r="B22" s="73" t="s">
        <v>2</v>
      </c>
      <c r="C22" s="74">
        <f>SUM(C17:C21)</f>
        <v>0</v>
      </c>
      <c r="D22" s="74">
        <f t="shared" ref="D22:N22" si="13">SUM(D17:D21)</f>
        <v>0</v>
      </c>
      <c r="E22" s="74">
        <f t="shared" si="13"/>
        <v>0</v>
      </c>
      <c r="F22" s="74">
        <f t="shared" si="13"/>
        <v>0</v>
      </c>
      <c r="G22" s="74">
        <f t="shared" si="13"/>
        <v>0</v>
      </c>
      <c r="H22" s="74">
        <f t="shared" si="13"/>
        <v>0</v>
      </c>
      <c r="I22" s="74">
        <f t="shared" si="13"/>
        <v>0</v>
      </c>
      <c r="J22" s="74">
        <f t="shared" si="13"/>
        <v>0</v>
      </c>
      <c r="K22" s="74">
        <f t="shared" si="13"/>
        <v>0</v>
      </c>
      <c r="L22" s="74">
        <f t="shared" si="13"/>
        <v>0</v>
      </c>
      <c r="M22" s="74">
        <f t="shared" si="13"/>
        <v>0</v>
      </c>
      <c r="N22" s="74">
        <f t="shared" si="13"/>
        <v>0</v>
      </c>
      <c r="O22" s="75">
        <f t="shared" si="8"/>
        <v>0</v>
      </c>
    </row>
    <row r="23" spans="2:15" ht="33" customHeight="1">
      <c r="B23" s="76" t="s">
        <v>38</v>
      </c>
      <c r="C23" s="58">
        <f>C14-C22</f>
        <v>0</v>
      </c>
      <c r="D23" s="58">
        <f t="shared" ref="D23:N23" si="14">D14-D22</f>
        <v>0</v>
      </c>
      <c r="E23" s="58">
        <f t="shared" si="14"/>
        <v>0</v>
      </c>
      <c r="F23" s="58">
        <f t="shared" si="14"/>
        <v>0</v>
      </c>
      <c r="G23" s="58">
        <f t="shared" si="14"/>
        <v>0</v>
      </c>
      <c r="H23" s="58">
        <f t="shared" si="14"/>
        <v>0</v>
      </c>
      <c r="I23" s="58">
        <f t="shared" si="14"/>
        <v>0</v>
      </c>
      <c r="J23" s="58">
        <f t="shared" si="14"/>
        <v>0</v>
      </c>
      <c r="K23" s="58">
        <f t="shared" si="14"/>
        <v>0</v>
      </c>
      <c r="L23" s="58">
        <f t="shared" si="14"/>
        <v>0</v>
      </c>
      <c r="M23" s="58">
        <f t="shared" si="14"/>
        <v>0</v>
      </c>
      <c r="N23" s="58">
        <f t="shared" si="14"/>
        <v>0</v>
      </c>
      <c r="O23" s="77">
        <f t="shared" ref="O23:O26" si="15">SUM(C23:N23)</f>
        <v>0</v>
      </c>
    </row>
    <row r="24" spans="2:15" ht="33" customHeight="1" thickBot="1">
      <c r="B24" s="78" t="s">
        <v>35</v>
      </c>
      <c r="C24" s="79">
        <f>+IF(C23&gt;0,C23*0.25,0)</f>
        <v>0</v>
      </c>
      <c r="D24" s="79">
        <f t="shared" ref="D24:N24" si="16">+IF(D23&gt;0,D23*0.25,0)</f>
        <v>0</v>
      </c>
      <c r="E24" s="79">
        <f t="shared" si="16"/>
        <v>0</v>
      </c>
      <c r="F24" s="79">
        <f t="shared" si="16"/>
        <v>0</v>
      </c>
      <c r="G24" s="79">
        <f t="shared" si="16"/>
        <v>0</v>
      </c>
      <c r="H24" s="79">
        <f t="shared" si="16"/>
        <v>0</v>
      </c>
      <c r="I24" s="79">
        <f t="shared" si="16"/>
        <v>0</v>
      </c>
      <c r="J24" s="79">
        <f t="shared" si="16"/>
        <v>0</v>
      </c>
      <c r="K24" s="79">
        <f t="shared" si="16"/>
        <v>0</v>
      </c>
      <c r="L24" s="79">
        <f t="shared" si="16"/>
        <v>0</v>
      </c>
      <c r="M24" s="79">
        <f t="shared" si="16"/>
        <v>0</v>
      </c>
      <c r="N24" s="79">
        <f t="shared" si="16"/>
        <v>0</v>
      </c>
      <c r="O24" s="80">
        <f t="shared" si="15"/>
        <v>0</v>
      </c>
    </row>
    <row r="26" spans="2:15" ht="33" customHeight="1">
      <c r="B26" s="19" t="s">
        <v>97</v>
      </c>
      <c r="C26" s="20">
        <f t="shared" ref="C26:N26" si="17">C23-C24</f>
        <v>0</v>
      </c>
      <c r="D26" s="20">
        <f t="shared" si="17"/>
        <v>0</v>
      </c>
      <c r="E26" s="20">
        <f t="shared" si="17"/>
        <v>0</v>
      </c>
      <c r="F26" s="20">
        <f t="shared" si="17"/>
        <v>0</v>
      </c>
      <c r="G26" s="20">
        <f t="shared" si="17"/>
        <v>0</v>
      </c>
      <c r="H26" s="20">
        <f t="shared" si="17"/>
        <v>0</v>
      </c>
      <c r="I26" s="20">
        <f t="shared" si="17"/>
        <v>0</v>
      </c>
      <c r="J26" s="20">
        <f t="shared" si="17"/>
        <v>0</v>
      </c>
      <c r="K26" s="20">
        <f t="shared" si="17"/>
        <v>0</v>
      </c>
      <c r="L26" s="20">
        <f t="shared" si="17"/>
        <v>0</v>
      </c>
      <c r="M26" s="20">
        <f t="shared" si="17"/>
        <v>0</v>
      </c>
      <c r="N26" s="20">
        <f t="shared" si="17"/>
        <v>0</v>
      </c>
      <c r="O26" s="21">
        <f t="shared" si="15"/>
        <v>0</v>
      </c>
    </row>
    <row r="27" spans="2:15" s="122" customFormat="1" ht="33" customHeight="1">
      <c r="B27" s="123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</row>
    <row r="28" spans="2:15" ht="33" customHeight="1">
      <c r="C28" s="116"/>
      <c r="D28" s="116"/>
      <c r="E28" s="145" t="s">
        <v>106</v>
      </c>
      <c r="F28" s="145"/>
      <c r="G28" s="145"/>
      <c r="I28" s="145" t="s">
        <v>107</v>
      </c>
      <c r="J28" s="145"/>
      <c r="K28" s="145"/>
    </row>
    <row r="29" spans="2:15" ht="33" customHeight="1">
      <c r="B29" s="141" t="s">
        <v>105</v>
      </c>
      <c r="C29" s="120"/>
      <c r="E29" s="126" t="s">
        <v>100</v>
      </c>
      <c r="F29" s="127">
        <f>+C31</f>
        <v>0</v>
      </c>
      <c r="G29" s="128"/>
      <c r="I29" s="126" t="s">
        <v>100</v>
      </c>
      <c r="J29" s="127">
        <f>+E33</f>
        <v>0</v>
      </c>
      <c r="K29" s="128"/>
    </row>
    <row r="30" spans="2:15" ht="33" customHeight="1">
      <c r="B30" s="141"/>
      <c r="C30" s="121">
        <v>0.3</v>
      </c>
      <c r="E30" s="129" t="s">
        <v>101</v>
      </c>
      <c r="F30" s="125"/>
      <c r="G30" s="130" t="e">
        <f>+F30/F29</f>
        <v>#DIV/0!</v>
      </c>
      <c r="I30" s="129" t="s">
        <v>101</v>
      </c>
      <c r="J30" s="125"/>
      <c r="K30" s="130" t="e">
        <f>+J30/J29</f>
        <v>#DIV/0!</v>
      </c>
    </row>
    <row r="31" spans="2:15" ht="33" customHeight="1">
      <c r="B31" s="141"/>
      <c r="C31" s="120">
        <f>+C29+(C29*C30)</f>
        <v>0</v>
      </c>
      <c r="E31" s="131" t="s">
        <v>102</v>
      </c>
      <c r="F31" s="132">
        <f>+F29-F30</f>
        <v>0</v>
      </c>
      <c r="G31" s="133" t="e">
        <f>+F31/F29</f>
        <v>#DIV/0!</v>
      </c>
      <c r="I31" s="131" t="s">
        <v>102</v>
      </c>
      <c r="J31" s="132">
        <f>+J29-J30</f>
        <v>0</v>
      </c>
      <c r="K31" s="133" t="e">
        <f>+J31/J29</f>
        <v>#DIV/0!</v>
      </c>
    </row>
    <row r="33" spans="3:5" ht="33" customHeight="1">
      <c r="C33" s="143" t="s">
        <v>101</v>
      </c>
      <c r="D33" s="143"/>
      <c r="E33" s="142">
        <f>+C29/(1-C30)</f>
        <v>0</v>
      </c>
    </row>
    <row r="34" spans="3:5" ht="33" customHeight="1">
      <c r="C34" s="144" t="s">
        <v>103</v>
      </c>
      <c r="D34" s="144"/>
      <c r="E34" s="142"/>
    </row>
  </sheetData>
  <mergeCells count="8">
    <mergeCell ref="B2:E2"/>
    <mergeCell ref="B3:O3"/>
    <mergeCell ref="B29:B31"/>
    <mergeCell ref="E33:E34"/>
    <mergeCell ref="C33:D33"/>
    <mergeCell ref="C34:D34"/>
    <mergeCell ref="E28:G28"/>
    <mergeCell ref="I28:K28"/>
  </mergeCells>
  <phoneticPr fontId="14" type="noConversion"/>
  <dataValidations count="9">
    <dataValidation allowBlank="1" showInputMessage="1" showErrorMessage="1" prompt="Introduzca los valores de gastos mensuales para General administrativo, Local/Oficina, Marketing, Empleados y Otros" sqref="B16" xr:uid="{00000000-0002-0000-0300-000000000000}"/>
    <dataValidation allowBlank="1" showInputMessage="1" showErrorMessage="1" prompt="Las ventas netas se calculan automáticamente" sqref="B12" xr:uid="{00000000-0002-0000-0300-000001000000}"/>
    <dataValidation allowBlank="1" showInputMessage="1" showErrorMessage="1" prompt="El beneficio bruto se calcula automáticamente" sqref="B14" xr:uid="{00000000-0002-0000-0300-000002000000}"/>
    <dataValidation allowBlank="1" showInputMessage="1" showErrorMessage="1" prompt="Los gastos totales se calculan automáticamente" sqref="B22" xr:uid="{00000000-0002-0000-0300-000003000000}"/>
    <dataValidation allowBlank="1" showInputMessage="1" showErrorMessage="1" prompt="Los ingresos sin descontar impuestos se calculan automáticamente" sqref="B23" xr:uid="{00000000-0002-0000-0300-000004000000}"/>
    <dataValidation allowBlank="1" showInputMessage="1" showErrorMessage="1" prompt="El gasto de impuestos se calcula automáticamente. _x000a__x000a_Puede cambiar la fórmula de la celda para actualizar el tipo impositivo." sqref="B24" xr:uid="{00000000-0002-0000-0300-000005000000}"/>
    <dataValidation allowBlank="1" showInputMessage="1" showErrorMessage="1" prompt="Los ingresos netos se calculan automáticamente" sqref="B26:B27" xr:uid="{00000000-0002-0000-0300-000006000000}"/>
    <dataValidation allowBlank="1" showInputMessage="1" showErrorMessage="1" prompt="Introduzca los valores de ingresos mensuales para las ventas Estimadas, Descuentos de ventas, Beneficios de servicios, Otros beneficios y Coste de bienes vendidos" sqref="B5:B7" xr:uid="{00000000-0002-0000-0300-000007000000}"/>
    <dataValidation allowBlank="1" showInputMessage="1" showErrorMessage="1" prompt="Escriba el nombre de la empresa._x000a__x000a_Introduzca datos de gastos en las columnas del mes adecuado empezando en la Columna C hasta la N." sqref="A2 A6" xr:uid="{00000000-0002-0000-0300-000008000000}"/>
  </dataValidations>
  <printOptions horizontalCentered="1"/>
  <pageMargins left="0.7" right="0.7" top="0.5" bottom="0.5" header="0.3" footer="0.3"/>
  <pageSetup paperSize="9" scale="34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3"/>
  <sheetViews>
    <sheetView showGridLines="0" tabSelected="1" topLeftCell="A3" workbookViewId="0">
      <selection activeCell="A13" sqref="A13"/>
    </sheetView>
  </sheetViews>
  <sheetFormatPr defaultColWidth="11.19921875" defaultRowHeight="13.2"/>
  <cols>
    <col min="1" max="1" width="22.5" style="81" customWidth="1"/>
    <col min="2" max="2" width="9.09765625" style="81" customWidth="1"/>
    <col min="3" max="3" width="12.3984375" style="81" customWidth="1"/>
    <col min="4" max="4" width="14.5" style="81" customWidth="1"/>
    <col min="5" max="5" width="14.69921875" style="81" customWidth="1"/>
    <col min="6" max="6" width="15.69921875" style="81" customWidth="1"/>
    <col min="7" max="7" width="15.19921875" style="81" customWidth="1"/>
    <col min="8" max="8" width="12.19921875" style="81" hidden="1" customWidth="1"/>
    <col min="9" max="9" width="18.3984375" style="81" hidden="1" customWidth="1"/>
    <col min="10" max="257" width="11" style="81"/>
    <col min="258" max="258" width="26.8984375" style="81" bestFit="1" customWidth="1"/>
    <col min="259" max="259" width="12.59765625" style="81" bestFit="1" customWidth="1"/>
    <col min="260" max="260" width="12.59765625" style="81" customWidth="1"/>
    <col min="261" max="261" width="16.69921875" style="81" bestFit="1" customWidth="1"/>
    <col min="262" max="263" width="12.59765625" style="81" bestFit="1" customWidth="1"/>
    <col min="264" max="264" width="13.5" style="81" bestFit="1" customWidth="1"/>
    <col min="265" max="265" width="12.59765625" style="81" bestFit="1" customWidth="1"/>
    <col min="266" max="513" width="11" style="81"/>
    <col min="514" max="514" width="26.8984375" style="81" bestFit="1" customWidth="1"/>
    <col min="515" max="515" width="12.59765625" style="81" bestFit="1" customWidth="1"/>
    <col min="516" max="516" width="12.59765625" style="81" customWidth="1"/>
    <col min="517" max="517" width="16.69921875" style="81" bestFit="1" customWidth="1"/>
    <col min="518" max="519" width="12.59765625" style="81" bestFit="1" customWidth="1"/>
    <col min="520" max="520" width="13.5" style="81" bestFit="1" customWidth="1"/>
    <col min="521" max="521" width="12.59765625" style="81" bestFit="1" customWidth="1"/>
    <col min="522" max="769" width="11" style="81"/>
    <col min="770" max="770" width="26.8984375" style="81" bestFit="1" customWidth="1"/>
    <col min="771" max="771" width="12.59765625" style="81" bestFit="1" customWidth="1"/>
    <col min="772" max="772" width="12.59765625" style="81" customWidth="1"/>
    <col min="773" max="773" width="16.69921875" style="81" bestFit="1" customWidth="1"/>
    <col min="774" max="775" width="12.59765625" style="81" bestFit="1" customWidth="1"/>
    <col min="776" max="776" width="13.5" style="81" bestFit="1" customWidth="1"/>
    <col min="777" max="777" width="12.59765625" style="81" bestFit="1" customWidth="1"/>
    <col min="778" max="1025" width="11" style="81"/>
    <col min="1026" max="1026" width="26.8984375" style="81" bestFit="1" customWidth="1"/>
    <col min="1027" max="1027" width="12.59765625" style="81" bestFit="1" customWidth="1"/>
    <col min="1028" max="1028" width="12.59765625" style="81" customWidth="1"/>
    <col min="1029" max="1029" width="16.69921875" style="81" bestFit="1" customWidth="1"/>
    <col min="1030" max="1031" width="12.59765625" style="81" bestFit="1" customWidth="1"/>
    <col min="1032" max="1032" width="13.5" style="81" bestFit="1" customWidth="1"/>
    <col min="1033" max="1033" width="12.59765625" style="81" bestFit="1" customWidth="1"/>
    <col min="1034" max="1281" width="11" style="81"/>
    <col min="1282" max="1282" width="26.8984375" style="81" bestFit="1" customWidth="1"/>
    <col min="1283" max="1283" width="12.59765625" style="81" bestFit="1" customWidth="1"/>
    <col min="1284" max="1284" width="12.59765625" style="81" customWidth="1"/>
    <col min="1285" max="1285" width="16.69921875" style="81" bestFit="1" customWidth="1"/>
    <col min="1286" max="1287" width="12.59765625" style="81" bestFit="1" customWidth="1"/>
    <col min="1288" max="1288" width="13.5" style="81" bestFit="1" customWidth="1"/>
    <col min="1289" max="1289" width="12.59765625" style="81" bestFit="1" customWidth="1"/>
    <col min="1290" max="1537" width="11" style="81"/>
    <col min="1538" max="1538" width="26.8984375" style="81" bestFit="1" customWidth="1"/>
    <col min="1539" max="1539" width="12.59765625" style="81" bestFit="1" customWidth="1"/>
    <col min="1540" max="1540" width="12.59765625" style="81" customWidth="1"/>
    <col min="1541" max="1541" width="16.69921875" style="81" bestFit="1" customWidth="1"/>
    <col min="1542" max="1543" width="12.59765625" style="81" bestFit="1" customWidth="1"/>
    <col min="1544" max="1544" width="13.5" style="81" bestFit="1" customWidth="1"/>
    <col min="1545" max="1545" width="12.59765625" style="81" bestFit="1" customWidth="1"/>
    <col min="1546" max="1793" width="11" style="81"/>
    <col min="1794" max="1794" width="26.8984375" style="81" bestFit="1" customWidth="1"/>
    <col min="1795" max="1795" width="12.59765625" style="81" bestFit="1" customWidth="1"/>
    <col min="1796" max="1796" width="12.59765625" style="81" customWidth="1"/>
    <col min="1797" max="1797" width="16.69921875" style="81" bestFit="1" customWidth="1"/>
    <col min="1798" max="1799" width="12.59765625" style="81" bestFit="1" customWidth="1"/>
    <col min="1800" max="1800" width="13.5" style="81" bestFit="1" customWidth="1"/>
    <col min="1801" max="1801" width="12.59765625" style="81" bestFit="1" customWidth="1"/>
    <col min="1802" max="2049" width="11" style="81"/>
    <col min="2050" max="2050" width="26.8984375" style="81" bestFit="1" customWidth="1"/>
    <col min="2051" max="2051" width="12.59765625" style="81" bestFit="1" customWidth="1"/>
    <col min="2052" max="2052" width="12.59765625" style="81" customWidth="1"/>
    <col min="2053" max="2053" width="16.69921875" style="81" bestFit="1" customWidth="1"/>
    <col min="2054" max="2055" width="12.59765625" style="81" bestFit="1" customWidth="1"/>
    <col min="2056" max="2056" width="13.5" style="81" bestFit="1" customWidth="1"/>
    <col min="2057" max="2057" width="12.59765625" style="81" bestFit="1" customWidth="1"/>
    <col min="2058" max="2305" width="11" style="81"/>
    <col min="2306" max="2306" width="26.8984375" style="81" bestFit="1" customWidth="1"/>
    <col min="2307" max="2307" width="12.59765625" style="81" bestFit="1" customWidth="1"/>
    <col min="2308" max="2308" width="12.59765625" style="81" customWidth="1"/>
    <col min="2309" max="2309" width="16.69921875" style="81" bestFit="1" customWidth="1"/>
    <col min="2310" max="2311" width="12.59765625" style="81" bestFit="1" customWidth="1"/>
    <col min="2312" max="2312" width="13.5" style="81" bestFit="1" customWidth="1"/>
    <col min="2313" max="2313" width="12.59765625" style="81" bestFit="1" customWidth="1"/>
    <col min="2314" max="2561" width="11" style="81"/>
    <col min="2562" max="2562" width="26.8984375" style="81" bestFit="1" customWidth="1"/>
    <col min="2563" max="2563" width="12.59765625" style="81" bestFit="1" customWidth="1"/>
    <col min="2564" max="2564" width="12.59765625" style="81" customWidth="1"/>
    <col min="2565" max="2565" width="16.69921875" style="81" bestFit="1" customWidth="1"/>
    <col min="2566" max="2567" width="12.59765625" style="81" bestFit="1" customWidth="1"/>
    <col min="2568" max="2568" width="13.5" style="81" bestFit="1" customWidth="1"/>
    <col min="2569" max="2569" width="12.59765625" style="81" bestFit="1" customWidth="1"/>
    <col min="2570" max="2817" width="11" style="81"/>
    <col min="2818" max="2818" width="26.8984375" style="81" bestFit="1" customWidth="1"/>
    <col min="2819" max="2819" width="12.59765625" style="81" bestFit="1" customWidth="1"/>
    <col min="2820" max="2820" width="12.59765625" style="81" customWidth="1"/>
    <col min="2821" max="2821" width="16.69921875" style="81" bestFit="1" customWidth="1"/>
    <col min="2822" max="2823" width="12.59765625" style="81" bestFit="1" customWidth="1"/>
    <col min="2824" max="2824" width="13.5" style="81" bestFit="1" customWidth="1"/>
    <col min="2825" max="2825" width="12.59765625" style="81" bestFit="1" customWidth="1"/>
    <col min="2826" max="3073" width="11" style="81"/>
    <col min="3074" max="3074" width="26.8984375" style="81" bestFit="1" customWidth="1"/>
    <col min="3075" max="3075" width="12.59765625" style="81" bestFit="1" customWidth="1"/>
    <col min="3076" max="3076" width="12.59765625" style="81" customWidth="1"/>
    <col min="3077" max="3077" width="16.69921875" style="81" bestFit="1" customWidth="1"/>
    <col min="3078" max="3079" width="12.59765625" style="81" bestFit="1" customWidth="1"/>
    <col min="3080" max="3080" width="13.5" style="81" bestFit="1" customWidth="1"/>
    <col min="3081" max="3081" width="12.59765625" style="81" bestFit="1" customWidth="1"/>
    <col min="3082" max="3329" width="11" style="81"/>
    <col min="3330" max="3330" width="26.8984375" style="81" bestFit="1" customWidth="1"/>
    <col min="3331" max="3331" width="12.59765625" style="81" bestFit="1" customWidth="1"/>
    <col min="3332" max="3332" width="12.59765625" style="81" customWidth="1"/>
    <col min="3333" max="3333" width="16.69921875" style="81" bestFit="1" customWidth="1"/>
    <col min="3334" max="3335" width="12.59765625" style="81" bestFit="1" customWidth="1"/>
    <col min="3336" max="3336" width="13.5" style="81" bestFit="1" customWidth="1"/>
    <col min="3337" max="3337" width="12.59765625" style="81" bestFit="1" customWidth="1"/>
    <col min="3338" max="3585" width="11" style="81"/>
    <col min="3586" max="3586" width="26.8984375" style="81" bestFit="1" customWidth="1"/>
    <col min="3587" max="3587" width="12.59765625" style="81" bestFit="1" customWidth="1"/>
    <col min="3588" max="3588" width="12.59765625" style="81" customWidth="1"/>
    <col min="3589" max="3589" width="16.69921875" style="81" bestFit="1" customWidth="1"/>
    <col min="3590" max="3591" width="12.59765625" style="81" bestFit="1" customWidth="1"/>
    <col min="3592" max="3592" width="13.5" style="81" bestFit="1" customWidth="1"/>
    <col min="3593" max="3593" width="12.59765625" style="81" bestFit="1" customWidth="1"/>
    <col min="3594" max="3841" width="11" style="81"/>
    <col min="3842" max="3842" width="26.8984375" style="81" bestFit="1" customWidth="1"/>
    <col min="3843" max="3843" width="12.59765625" style="81" bestFit="1" customWidth="1"/>
    <col min="3844" max="3844" width="12.59765625" style="81" customWidth="1"/>
    <col min="3845" max="3845" width="16.69921875" style="81" bestFit="1" customWidth="1"/>
    <col min="3846" max="3847" width="12.59765625" style="81" bestFit="1" customWidth="1"/>
    <col min="3848" max="3848" width="13.5" style="81" bestFit="1" customWidth="1"/>
    <col min="3849" max="3849" width="12.59765625" style="81" bestFit="1" customWidth="1"/>
    <col min="3850" max="4097" width="11" style="81"/>
    <col min="4098" max="4098" width="26.8984375" style="81" bestFit="1" customWidth="1"/>
    <col min="4099" max="4099" width="12.59765625" style="81" bestFit="1" customWidth="1"/>
    <col min="4100" max="4100" width="12.59765625" style="81" customWidth="1"/>
    <col min="4101" max="4101" width="16.69921875" style="81" bestFit="1" customWidth="1"/>
    <col min="4102" max="4103" width="12.59765625" style="81" bestFit="1" customWidth="1"/>
    <col min="4104" max="4104" width="13.5" style="81" bestFit="1" customWidth="1"/>
    <col min="4105" max="4105" width="12.59765625" style="81" bestFit="1" customWidth="1"/>
    <col min="4106" max="4353" width="11" style="81"/>
    <col min="4354" max="4354" width="26.8984375" style="81" bestFit="1" customWidth="1"/>
    <col min="4355" max="4355" width="12.59765625" style="81" bestFit="1" customWidth="1"/>
    <col min="4356" max="4356" width="12.59765625" style="81" customWidth="1"/>
    <col min="4357" max="4357" width="16.69921875" style="81" bestFit="1" customWidth="1"/>
    <col min="4358" max="4359" width="12.59765625" style="81" bestFit="1" customWidth="1"/>
    <col min="4360" max="4360" width="13.5" style="81" bestFit="1" customWidth="1"/>
    <col min="4361" max="4361" width="12.59765625" style="81" bestFit="1" customWidth="1"/>
    <col min="4362" max="4609" width="11" style="81"/>
    <col min="4610" max="4610" width="26.8984375" style="81" bestFit="1" customWidth="1"/>
    <col min="4611" max="4611" width="12.59765625" style="81" bestFit="1" customWidth="1"/>
    <col min="4612" max="4612" width="12.59765625" style="81" customWidth="1"/>
    <col min="4613" max="4613" width="16.69921875" style="81" bestFit="1" customWidth="1"/>
    <col min="4614" max="4615" width="12.59765625" style="81" bestFit="1" customWidth="1"/>
    <col min="4616" max="4616" width="13.5" style="81" bestFit="1" customWidth="1"/>
    <col min="4617" max="4617" width="12.59765625" style="81" bestFit="1" customWidth="1"/>
    <col min="4618" max="4865" width="11" style="81"/>
    <col min="4866" max="4866" width="26.8984375" style="81" bestFit="1" customWidth="1"/>
    <col min="4867" max="4867" width="12.59765625" style="81" bestFit="1" customWidth="1"/>
    <col min="4868" max="4868" width="12.59765625" style="81" customWidth="1"/>
    <col min="4869" max="4869" width="16.69921875" style="81" bestFit="1" customWidth="1"/>
    <col min="4870" max="4871" width="12.59765625" style="81" bestFit="1" customWidth="1"/>
    <col min="4872" max="4872" width="13.5" style="81" bestFit="1" customWidth="1"/>
    <col min="4873" max="4873" width="12.59765625" style="81" bestFit="1" customWidth="1"/>
    <col min="4874" max="5121" width="11" style="81"/>
    <col min="5122" max="5122" width="26.8984375" style="81" bestFit="1" customWidth="1"/>
    <col min="5123" max="5123" width="12.59765625" style="81" bestFit="1" customWidth="1"/>
    <col min="5124" max="5124" width="12.59765625" style="81" customWidth="1"/>
    <col min="5125" max="5125" width="16.69921875" style="81" bestFit="1" customWidth="1"/>
    <col min="5126" max="5127" width="12.59765625" style="81" bestFit="1" customWidth="1"/>
    <col min="5128" max="5128" width="13.5" style="81" bestFit="1" customWidth="1"/>
    <col min="5129" max="5129" width="12.59765625" style="81" bestFit="1" customWidth="1"/>
    <col min="5130" max="5377" width="11" style="81"/>
    <col min="5378" max="5378" width="26.8984375" style="81" bestFit="1" customWidth="1"/>
    <col min="5379" max="5379" width="12.59765625" style="81" bestFit="1" customWidth="1"/>
    <col min="5380" max="5380" width="12.59765625" style="81" customWidth="1"/>
    <col min="5381" max="5381" width="16.69921875" style="81" bestFit="1" customWidth="1"/>
    <col min="5382" max="5383" width="12.59765625" style="81" bestFit="1" customWidth="1"/>
    <col min="5384" max="5384" width="13.5" style="81" bestFit="1" customWidth="1"/>
    <col min="5385" max="5385" width="12.59765625" style="81" bestFit="1" customWidth="1"/>
    <col min="5386" max="5633" width="11" style="81"/>
    <col min="5634" max="5634" width="26.8984375" style="81" bestFit="1" customWidth="1"/>
    <col min="5635" max="5635" width="12.59765625" style="81" bestFit="1" customWidth="1"/>
    <col min="5636" max="5636" width="12.59765625" style="81" customWidth="1"/>
    <col min="5637" max="5637" width="16.69921875" style="81" bestFit="1" customWidth="1"/>
    <col min="5638" max="5639" width="12.59765625" style="81" bestFit="1" customWidth="1"/>
    <col min="5640" max="5640" width="13.5" style="81" bestFit="1" customWidth="1"/>
    <col min="5641" max="5641" width="12.59765625" style="81" bestFit="1" customWidth="1"/>
    <col min="5642" max="5889" width="11" style="81"/>
    <col min="5890" max="5890" width="26.8984375" style="81" bestFit="1" customWidth="1"/>
    <col min="5891" max="5891" width="12.59765625" style="81" bestFit="1" customWidth="1"/>
    <col min="5892" max="5892" width="12.59765625" style="81" customWidth="1"/>
    <col min="5893" max="5893" width="16.69921875" style="81" bestFit="1" customWidth="1"/>
    <col min="5894" max="5895" width="12.59765625" style="81" bestFit="1" customWidth="1"/>
    <col min="5896" max="5896" width="13.5" style="81" bestFit="1" customWidth="1"/>
    <col min="5897" max="5897" width="12.59765625" style="81" bestFit="1" customWidth="1"/>
    <col min="5898" max="6145" width="11" style="81"/>
    <col min="6146" max="6146" width="26.8984375" style="81" bestFit="1" customWidth="1"/>
    <col min="6147" max="6147" width="12.59765625" style="81" bestFit="1" customWidth="1"/>
    <col min="6148" max="6148" width="12.59765625" style="81" customWidth="1"/>
    <col min="6149" max="6149" width="16.69921875" style="81" bestFit="1" customWidth="1"/>
    <col min="6150" max="6151" width="12.59765625" style="81" bestFit="1" customWidth="1"/>
    <col min="6152" max="6152" width="13.5" style="81" bestFit="1" customWidth="1"/>
    <col min="6153" max="6153" width="12.59765625" style="81" bestFit="1" customWidth="1"/>
    <col min="6154" max="6401" width="11" style="81"/>
    <col min="6402" max="6402" width="26.8984375" style="81" bestFit="1" customWidth="1"/>
    <col min="6403" max="6403" width="12.59765625" style="81" bestFit="1" customWidth="1"/>
    <col min="6404" max="6404" width="12.59765625" style="81" customWidth="1"/>
    <col min="6405" max="6405" width="16.69921875" style="81" bestFit="1" customWidth="1"/>
    <col min="6406" max="6407" width="12.59765625" style="81" bestFit="1" customWidth="1"/>
    <col min="6408" max="6408" width="13.5" style="81" bestFit="1" customWidth="1"/>
    <col min="6409" max="6409" width="12.59765625" style="81" bestFit="1" customWidth="1"/>
    <col min="6410" max="6657" width="11" style="81"/>
    <col min="6658" max="6658" width="26.8984375" style="81" bestFit="1" customWidth="1"/>
    <col min="6659" max="6659" width="12.59765625" style="81" bestFit="1" customWidth="1"/>
    <col min="6660" max="6660" width="12.59765625" style="81" customWidth="1"/>
    <col min="6661" max="6661" width="16.69921875" style="81" bestFit="1" customWidth="1"/>
    <col min="6662" max="6663" width="12.59765625" style="81" bestFit="1" customWidth="1"/>
    <col min="6664" max="6664" width="13.5" style="81" bestFit="1" customWidth="1"/>
    <col min="6665" max="6665" width="12.59765625" style="81" bestFit="1" customWidth="1"/>
    <col min="6666" max="6913" width="11" style="81"/>
    <col min="6914" max="6914" width="26.8984375" style="81" bestFit="1" customWidth="1"/>
    <col min="6915" max="6915" width="12.59765625" style="81" bestFit="1" customWidth="1"/>
    <col min="6916" max="6916" width="12.59765625" style="81" customWidth="1"/>
    <col min="6917" max="6917" width="16.69921875" style="81" bestFit="1" customWidth="1"/>
    <col min="6918" max="6919" width="12.59765625" style="81" bestFit="1" customWidth="1"/>
    <col min="6920" max="6920" width="13.5" style="81" bestFit="1" customWidth="1"/>
    <col min="6921" max="6921" width="12.59765625" style="81" bestFit="1" customWidth="1"/>
    <col min="6922" max="7169" width="11" style="81"/>
    <col min="7170" max="7170" width="26.8984375" style="81" bestFit="1" customWidth="1"/>
    <col min="7171" max="7171" width="12.59765625" style="81" bestFit="1" customWidth="1"/>
    <col min="7172" max="7172" width="12.59765625" style="81" customWidth="1"/>
    <col min="7173" max="7173" width="16.69921875" style="81" bestFit="1" customWidth="1"/>
    <col min="7174" max="7175" width="12.59765625" style="81" bestFit="1" customWidth="1"/>
    <col min="7176" max="7176" width="13.5" style="81" bestFit="1" customWidth="1"/>
    <col min="7177" max="7177" width="12.59765625" style="81" bestFit="1" customWidth="1"/>
    <col min="7178" max="7425" width="11" style="81"/>
    <col min="7426" max="7426" width="26.8984375" style="81" bestFit="1" customWidth="1"/>
    <col min="7427" max="7427" width="12.59765625" style="81" bestFit="1" customWidth="1"/>
    <col min="7428" max="7428" width="12.59765625" style="81" customWidth="1"/>
    <col min="7429" max="7429" width="16.69921875" style="81" bestFit="1" customWidth="1"/>
    <col min="7430" max="7431" width="12.59765625" style="81" bestFit="1" customWidth="1"/>
    <col min="7432" max="7432" width="13.5" style="81" bestFit="1" customWidth="1"/>
    <col min="7433" max="7433" width="12.59765625" style="81" bestFit="1" customWidth="1"/>
    <col min="7434" max="7681" width="11" style="81"/>
    <col min="7682" max="7682" width="26.8984375" style="81" bestFit="1" customWidth="1"/>
    <col min="7683" max="7683" width="12.59765625" style="81" bestFit="1" customWidth="1"/>
    <col min="7684" max="7684" width="12.59765625" style="81" customWidth="1"/>
    <col min="7685" max="7685" width="16.69921875" style="81" bestFit="1" customWidth="1"/>
    <col min="7686" max="7687" width="12.59765625" style="81" bestFit="1" customWidth="1"/>
    <col min="7688" max="7688" width="13.5" style="81" bestFit="1" customWidth="1"/>
    <col min="7689" max="7689" width="12.59765625" style="81" bestFit="1" customWidth="1"/>
    <col min="7690" max="7937" width="11" style="81"/>
    <col min="7938" max="7938" width="26.8984375" style="81" bestFit="1" customWidth="1"/>
    <col min="7939" max="7939" width="12.59765625" style="81" bestFit="1" customWidth="1"/>
    <col min="7940" max="7940" width="12.59765625" style="81" customWidth="1"/>
    <col min="7941" max="7941" width="16.69921875" style="81" bestFit="1" customWidth="1"/>
    <col min="7942" max="7943" width="12.59765625" style="81" bestFit="1" customWidth="1"/>
    <col min="7944" max="7944" width="13.5" style="81" bestFit="1" customWidth="1"/>
    <col min="7945" max="7945" width="12.59765625" style="81" bestFit="1" customWidth="1"/>
    <col min="7946" max="8193" width="11" style="81"/>
    <col min="8194" max="8194" width="26.8984375" style="81" bestFit="1" customWidth="1"/>
    <col min="8195" max="8195" width="12.59765625" style="81" bestFit="1" customWidth="1"/>
    <col min="8196" max="8196" width="12.59765625" style="81" customWidth="1"/>
    <col min="8197" max="8197" width="16.69921875" style="81" bestFit="1" customWidth="1"/>
    <col min="8198" max="8199" width="12.59765625" style="81" bestFit="1" customWidth="1"/>
    <col min="8200" max="8200" width="13.5" style="81" bestFit="1" customWidth="1"/>
    <col min="8201" max="8201" width="12.59765625" style="81" bestFit="1" customWidth="1"/>
    <col min="8202" max="8449" width="11" style="81"/>
    <col min="8450" max="8450" width="26.8984375" style="81" bestFit="1" customWidth="1"/>
    <col min="8451" max="8451" width="12.59765625" style="81" bestFit="1" customWidth="1"/>
    <col min="8452" max="8452" width="12.59765625" style="81" customWidth="1"/>
    <col min="8453" max="8453" width="16.69921875" style="81" bestFit="1" customWidth="1"/>
    <col min="8454" max="8455" width="12.59765625" style="81" bestFit="1" customWidth="1"/>
    <col min="8456" max="8456" width="13.5" style="81" bestFit="1" customWidth="1"/>
    <col min="8457" max="8457" width="12.59765625" style="81" bestFit="1" customWidth="1"/>
    <col min="8458" max="8705" width="11" style="81"/>
    <col min="8706" max="8706" width="26.8984375" style="81" bestFit="1" customWidth="1"/>
    <col min="8707" max="8707" width="12.59765625" style="81" bestFit="1" customWidth="1"/>
    <col min="8708" max="8708" width="12.59765625" style="81" customWidth="1"/>
    <col min="8709" max="8709" width="16.69921875" style="81" bestFit="1" customWidth="1"/>
    <col min="8710" max="8711" width="12.59765625" style="81" bestFit="1" customWidth="1"/>
    <col min="8712" max="8712" width="13.5" style="81" bestFit="1" customWidth="1"/>
    <col min="8713" max="8713" width="12.59765625" style="81" bestFit="1" customWidth="1"/>
    <col min="8714" max="8961" width="11" style="81"/>
    <col min="8962" max="8962" width="26.8984375" style="81" bestFit="1" customWidth="1"/>
    <col min="8963" max="8963" width="12.59765625" style="81" bestFit="1" customWidth="1"/>
    <col min="8964" max="8964" width="12.59765625" style="81" customWidth="1"/>
    <col min="8965" max="8965" width="16.69921875" style="81" bestFit="1" customWidth="1"/>
    <col min="8966" max="8967" width="12.59765625" style="81" bestFit="1" customWidth="1"/>
    <col min="8968" max="8968" width="13.5" style="81" bestFit="1" customWidth="1"/>
    <col min="8969" max="8969" width="12.59765625" style="81" bestFit="1" customWidth="1"/>
    <col min="8970" max="9217" width="11" style="81"/>
    <col min="9218" max="9218" width="26.8984375" style="81" bestFit="1" customWidth="1"/>
    <col min="9219" max="9219" width="12.59765625" style="81" bestFit="1" customWidth="1"/>
    <col min="9220" max="9220" width="12.59765625" style="81" customWidth="1"/>
    <col min="9221" max="9221" width="16.69921875" style="81" bestFit="1" customWidth="1"/>
    <col min="9222" max="9223" width="12.59765625" style="81" bestFit="1" customWidth="1"/>
    <col min="9224" max="9224" width="13.5" style="81" bestFit="1" customWidth="1"/>
    <col min="9225" max="9225" width="12.59765625" style="81" bestFit="1" customWidth="1"/>
    <col min="9226" max="9473" width="11" style="81"/>
    <col min="9474" max="9474" width="26.8984375" style="81" bestFit="1" customWidth="1"/>
    <col min="9475" max="9475" width="12.59765625" style="81" bestFit="1" customWidth="1"/>
    <col min="9476" max="9476" width="12.59765625" style="81" customWidth="1"/>
    <col min="9477" max="9477" width="16.69921875" style="81" bestFit="1" customWidth="1"/>
    <col min="9478" max="9479" width="12.59765625" style="81" bestFit="1" customWidth="1"/>
    <col min="9480" max="9480" width="13.5" style="81" bestFit="1" customWidth="1"/>
    <col min="9481" max="9481" width="12.59765625" style="81" bestFit="1" customWidth="1"/>
    <col min="9482" max="9729" width="11" style="81"/>
    <col min="9730" max="9730" width="26.8984375" style="81" bestFit="1" customWidth="1"/>
    <col min="9731" max="9731" width="12.59765625" style="81" bestFit="1" customWidth="1"/>
    <col min="9732" max="9732" width="12.59765625" style="81" customWidth="1"/>
    <col min="9733" max="9733" width="16.69921875" style="81" bestFit="1" customWidth="1"/>
    <col min="9734" max="9735" width="12.59765625" style="81" bestFit="1" customWidth="1"/>
    <col min="9736" max="9736" width="13.5" style="81" bestFit="1" customWidth="1"/>
    <col min="9737" max="9737" width="12.59765625" style="81" bestFit="1" customWidth="1"/>
    <col min="9738" max="9985" width="11" style="81"/>
    <col min="9986" max="9986" width="26.8984375" style="81" bestFit="1" customWidth="1"/>
    <col min="9987" max="9987" width="12.59765625" style="81" bestFit="1" customWidth="1"/>
    <col min="9988" max="9988" width="12.59765625" style="81" customWidth="1"/>
    <col min="9989" max="9989" width="16.69921875" style="81" bestFit="1" customWidth="1"/>
    <col min="9990" max="9991" width="12.59765625" style="81" bestFit="1" customWidth="1"/>
    <col min="9992" max="9992" width="13.5" style="81" bestFit="1" customWidth="1"/>
    <col min="9993" max="9993" width="12.59765625" style="81" bestFit="1" customWidth="1"/>
    <col min="9994" max="10241" width="11" style="81"/>
    <col min="10242" max="10242" width="26.8984375" style="81" bestFit="1" customWidth="1"/>
    <col min="10243" max="10243" width="12.59765625" style="81" bestFit="1" customWidth="1"/>
    <col min="10244" max="10244" width="12.59765625" style="81" customWidth="1"/>
    <col min="10245" max="10245" width="16.69921875" style="81" bestFit="1" customWidth="1"/>
    <col min="10246" max="10247" width="12.59765625" style="81" bestFit="1" customWidth="1"/>
    <col min="10248" max="10248" width="13.5" style="81" bestFit="1" customWidth="1"/>
    <col min="10249" max="10249" width="12.59765625" style="81" bestFit="1" customWidth="1"/>
    <col min="10250" max="10497" width="11" style="81"/>
    <col min="10498" max="10498" width="26.8984375" style="81" bestFit="1" customWidth="1"/>
    <col min="10499" max="10499" width="12.59765625" style="81" bestFit="1" customWidth="1"/>
    <col min="10500" max="10500" width="12.59765625" style="81" customWidth="1"/>
    <col min="10501" max="10501" width="16.69921875" style="81" bestFit="1" customWidth="1"/>
    <col min="10502" max="10503" width="12.59765625" style="81" bestFit="1" customWidth="1"/>
    <col min="10504" max="10504" width="13.5" style="81" bestFit="1" customWidth="1"/>
    <col min="10505" max="10505" width="12.59765625" style="81" bestFit="1" customWidth="1"/>
    <col min="10506" max="10753" width="11" style="81"/>
    <col min="10754" max="10754" width="26.8984375" style="81" bestFit="1" customWidth="1"/>
    <col min="10755" max="10755" width="12.59765625" style="81" bestFit="1" customWidth="1"/>
    <col min="10756" max="10756" width="12.59765625" style="81" customWidth="1"/>
    <col min="10757" max="10757" width="16.69921875" style="81" bestFit="1" customWidth="1"/>
    <col min="10758" max="10759" width="12.59765625" style="81" bestFit="1" customWidth="1"/>
    <col min="10760" max="10760" width="13.5" style="81" bestFit="1" customWidth="1"/>
    <col min="10761" max="10761" width="12.59765625" style="81" bestFit="1" customWidth="1"/>
    <col min="10762" max="11009" width="11" style="81"/>
    <col min="11010" max="11010" width="26.8984375" style="81" bestFit="1" customWidth="1"/>
    <col min="11011" max="11011" width="12.59765625" style="81" bestFit="1" customWidth="1"/>
    <col min="11012" max="11012" width="12.59765625" style="81" customWidth="1"/>
    <col min="11013" max="11013" width="16.69921875" style="81" bestFit="1" customWidth="1"/>
    <col min="11014" max="11015" width="12.59765625" style="81" bestFit="1" customWidth="1"/>
    <col min="11016" max="11016" width="13.5" style="81" bestFit="1" customWidth="1"/>
    <col min="11017" max="11017" width="12.59765625" style="81" bestFit="1" customWidth="1"/>
    <col min="11018" max="11265" width="11" style="81"/>
    <col min="11266" max="11266" width="26.8984375" style="81" bestFit="1" customWidth="1"/>
    <col min="11267" max="11267" width="12.59765625" style="81" bestFit="1" customWidth="1"/>
    <col min="11268" max="11268" width="12.59765625" style="81" customWidth="1"/>
    <col min="11269" max="11269" width="16.69921875" style="81" bestFit="1" customWidth="1"/>
    <col min="11270" max="11271" width="12.59765625" style="81" bestFit="1" customWidth="1"/>
    <col min="11272" max="11272" width="13.5" style="81" bestFit="1" customWidth="1"/>
    <col min="11273" max="11273" width="12.59765625" style="81" bestFit="1" customWidth="1"/>
    <col min="11274" max="11521" width="11" style="81"/>
    <col min="11522" max="11522" width="26.8984375" style="81" bestFit="1" customWidth="1"/>
    <col min="11523" max="11523" width="12.59765625" style="81" bestFit="1" customWidth="1"/>
    <col min="11524" max="11524" width="12.59765625" style="81" customWidth="1"/>
    <col min="11525" max="11525" width="16.69921875" style="81" bestFit="1" customWidth="1"/>
    <col min="11526" max="11527" width="12.59765625" style="81" bestFit="1" customWidth="1"/>
    <col min="11528" max="11528" width="13.5" style="81" bestFit="1" customWidth="1"/>
    <col min="11529" max="11529" width="12.59765625" style="81" bestFit="1" customWidth="1"/>
    <col min="11530" max="11777" width="11" style="81"/>
    <col min="11778" max="11778" width="26.8984375" style="81" bestFit="1" customWidth="1"/>
    <col min="11779" max="11779" width="12.59765625" style="81" bestFit="1" customWidth="1"/>
    <col min="11780" max="11780" width="12.59765625" style="81" customWidth="1"/>
    <col min="11781" max="11781" width="16.69921875" style="81" bestFit="1" customWidth="1"/>
    <col min="11782" max="11783" width="12.59765625" style="81" bestFit="1" customWidth="1"/>
    <col min="11784" max="11784" width="13.5" style="81" bestFit="1" customWidth="1"/>
    <col min="11785" max="11785" width="12.59765625" style="81" bestFit="1" customWidth="1"/>
    <col min="11786" max="12033" width="11" style="81"/>
    <col min="12034" max="12034" width="26.8984375" style="81" bestFit="1" customWidth="1"/>
    <col min="12035" max="12035" width="12.59765625" style="81" bestFit="1" customWidth="1"/>
    <col min="12036" max="12036" width="12.59765625" style="81" customWidth="1"/>
    <col min="12037" max="12037" width="16.69921875" style="81" bestFit="1" customWidth="1"/>
    <col min="12038" max="12039" width="12.59765625" style="81" bestFit="1" customWidth="1"/>
    <col min="12040" max="12040" width="13.5" style="81" bestFit="1" customWidth="1"/>
    <col min="12041" max="12041" width="12.59765625" style="81" bestFit="1" customWidth="1"/>
    <col min="12042" max="12289" width="11" style="81"/>
    <col min="12290" max="12290" width="26.8984375" style="81" bestFit="1" customWidth="1"/>
    <col min="12291" max="12291" width="12.59765625" style="81" bestFit="1" customWidth="1"/>
    <col min="12292" max="12292" width="12.59765625" style="81" customWidth="1"/>
    <col min="12293" max="12293" width="16.69921875" style="81" bestFit="1" customWidth="1"/>
    <col min="12294" max="12295" width="12.59765625" style="81" bestFit="1" customWidth="1"/>
    <col min="12296" max="12296" width="13.5" style="81" bestFit="1" customWidth="1"/>
    <col min="12297" max="12297" width="12.59765625" style="81" bestFit="1" customWidth="1"/>
    <col min="12298" max="12545" width="11" style="81"/>
    <col min="12546" max="12546" width="26.8984375" style="81" bestFit="1" customWidth="1"/>
    <col min="12547" max="12547" width="12.59765625" style="81" bestFit="1" customWidth="1"/>
    <col min="12548" max="12548" width="12.59765625" style="81" customWidth="1"/>
    <col min="12549" max="12549" width="16.69921875" style="81" bestFit="1" customWidth="1"/>
    <col min="12550" max="12551" width="12.59765625" style="81" bestFit="1" customWidth="1"/>
    <col min="12552" max="12552" width="13.5" style="81" bestFit="1" customWidth="1"/>
    <col min="12553" max="12553" width="12.59765625" style="81" bestFit="1" customWidth="1"/>
    <col min="12554" max="12801" width="11" style="81"/>
    <col min="12802" max="12802" width="26.8984375" style="81" bestFit="1" customWidth="1"/>
    <col min="12803" max="12803" width="12.59765625" style="81" bestFit="1" customWidth="1"/>
    <col min="12804" max="12804" width="12.59765625" style="81" customWidth="1"/>
    <col min="12805" max="12805" width="16.69921875" style="81" bestFit="1" customWidth="1"/>
    <col min="12806" max="12807" width="12.59765625" style="81" bestFit="1" customWidth="1"/>
    <col min="12808" max="12808" width="13.5" style="81" bestFit="1" customWidth="1"/>
    <col min="12809" max="12809" width="12.59765625" style="81" bestFit="1" customWidth="1"/>
    <col min="12810" max="13057" width="11" style="81"/>
    <col min="13058" max="13058" width="26.8984375" style="81" bestFit="1" customWidth="1"/>
    <col min="13059" max="13059" width="12.59765625" style="81" bestFit="1" customWidth="1"/>
    <col min="13060" max="13060" width="12.59765625" style="81" customWidth="1"/>
    <col min="13061" max="13061" width="16.69921875" style="81" bestFit="1" customWidth="1"/>
    <col min="13062" max="13063" width="12.59765625" style="81" bestFit="1" customWidth="1"/>
    <col min="13064" max="13064" width="13.5" style="81" bestFit="1" customWidth="1"/>
    <col min="13065" max="13065" width="12.59765625" style="81" bestFit="1" customWidth="1"/>
    <col min="13066" max="13313" width="11" style="81"/>
    <col min="13314" max="13314" width="26.8984375" style="81" bestFit="1" customWidth="1"/>
    <col min="13315" max="13315" width="12.59765625" style="81" bestFit="1" customWidth="1"/>
    <col min="13316" max="13316" width="12.59765625" style="81" customWidth="1"/>
    <col min="13317" max="13317" width="16.69921875" style="81" bestFit="1" customWidth="1"/>
    <col min="13318" max="13319" width="12.59765625" style="81" bestFit="1" customWidth="1"/>
    <col min="13320" max="13320" width="13.5" style="81" bestFit="1" customWidth="1"/>
    <col min="13321" max="13321" width="12.59765625" style="81" bestFit="1" customWidth="1"/>
    <col min="13322" max="13569" width="11" style="81"/>
    <col min="13570" max="13570" width="26.8984375" style="81" bestFit="1" customWidth="1"/>
    <col min="13571" max="13571" width="12.59765625" style="81" bestFit="1" customWidth="1"/>
    <col min="13572" max="13572" width="12.59765625" style="81" customWidth="1"/>
    <col min="13573" max="13573" width="16.69921875" style="81" bestFit="1" customWidth="1"/>
    <col min="13574" max="13575" width="12.59765625" style="81" bestFit="1" customWidth="1"/>
    <col min="13576" max="13576" width="13.5" style="81" bestFit="1" customWidth="1"/>
    <col min="13577" max="13577" width="12.59765625" style="81" bestFit="1" customWidth="1"/>
    <col min="13578" max="13825" width="11" style="81"/>
    <col min="13826" max="13826" width="26.8984375" style="81" bestFit="1" customWidth="1"/>
    <col min="13827" max="13827" width="12.59765625" style="81" bestFit="1" customWidth="1"/>
    <col min="13828" max="13828" width="12.59765625" style="81" customWidth="1"/>
    <col min="13829" max="13829" width="16.69921875" style="81" bestFit="1" customWidth="1"/>
    <col min="13830" max="13831" width="12.59765625" style="81" bestFit="1" customWidth="1"/>
    <col min="13832" max="13832" width="13.5" style="81" bestFit="1" customWidth="1"/>
    <col min="13833" max="13833" width="12.59765625" style="81" bestFit="1" customWidth="1"/>
    <col min="13834" max="14081" width="11" style="81"/>
    <col min="14082" max="14082" width="26.8984375" style="81" bestFit="1" customWidth="1"/>
    <col min="14083" max="14083" width="12.59765625" style="81" bestFit="1" customWidth="1"/>
    <col min="14084" max="14084" width="12.59765625" style="81" customWidth="1"/>
    <col min="14085" max="14085" width="16.69921875" style="81" bestFit="1" customWidth="1"/>
    <col min="14086" max="14087" width="12.59765625" style="81" bestFit="1" customWidth="1"/>
    <col min="14088" max="14088" width="13.5" style="81" bestFit="1" customWidth="1"/>
    <col min="14089" max="14089" width="12.59765625" style="81" bestFit="1" customWidth="1"/>
    <col min="14090" max="14337" width="11" style="81"/>
    <col min="14338" max="14338" width="26.8984375" style="81" bestFit="1" customWidth="1"/>
    <col min="14339" max="14339" width="12.59765625" style="81" bestFit="1" customWidth="1"/>
    <col min="14340" max="14340" width="12.59765625" style="81" customWidth="1"/>
    <col min="14341" max="14341" width="16.69921875" style="81" bestFit="1" customWidth="1"/>
    <col min="14342" max="14343" width="12.59765625" style="81" bestFit="1" customWidth="1"/>
    <col min="14344" max="14344" width="13.5" style="81" bestFit="1" customWidth="1"/>
    <col min="14345" max="14345" width="12.59765625" style="81" bestFit="1" customWidth="1"/>
    <col min="14346" max="14593" width="11" style="81"/>
    <col min="14594" max="14594" width="26.8984375" style="81" bestFit="1" customWidth="1"/>
    <col min="14595" max="14595" width="12.59765625" style="81" bestFit="1" customWidth="1"/>
    <col min="14596" max="14596" width="12.59765625" style="81" customWidth="1"/>
    <col min="14597" max="14597" width="16.69921875" style="81" bestFit="1" customWidth="1"/>
    <col min="14598" max="14599" width="12.59765625" style="81" bestFit="1" customWidth="1"/>
    <col min="14600" max="14600" width="13.5" style="81" bestFit="1" customWidth="1"/>
    <col min="14601" max="14601" width="12.59765625" style="81" bestFit="1" customWidth="1"/>
    <col min="14602" max="14849" width="11" style="81"/>
    <col min="14850" max="14850" width="26.8984375" style="81" bestFit="1" customWidth="1"/>
    <col min="14851" max="14851" width="12.59765625" style="81" bestFit="1" customWidth="1"/>
    <col min="14852" max="14852" width="12.59765625" style="81" customWidth="1"/>
    <col min="14853" max="14853" width="16.69921875" style="81" bestFit="1" customWidth="1"/>
    <col min="14854" max="14855" width="12.59765625" style="81" bestFit="1" customWidth="1"/>
    <col min="14856" max="14856" width="13.5" style="81" bestFit="1" customWidth="1"/>
    <col min="14857" max="14857" width="12.59765625" style="81" bestFit="1" customWidth="1"/>
    <col min="14858" max="15105" width="11" style="81"/>
    <col min="15106" max="15106" width="26.8984375" style="81" bestFit="1" customWidth="1"/>
    <col min="15107" max="15107" width="12.59765625" style="81" bestFit="1" customWidth="1"/>
    <col min="15108" max="15108" width="12.59765625" style="81" customWidth="1"/>
    <col min="15109" max="15109" width="16.69921875" style="81" bestFit="1" customWidth="1"/>
    <col min="15110" max="15111" width="12.59765625" style="81" bestFit="1" customWidth="1"/>
    <col min="15112" max="15112" width="13.5" style="81" bestFit="1" customWidth="1"/>
    <col min="15113" max="15113" width="12.59765625" style="81" bestFit="1" customWidth="1"/>
    <col min="15114" max="15361" width="11" style="81"/>
    <col min="15362" max="15362" width="26.8984375" style="81" bestFit="1" customWidth="1"/>
    <col min="15363" max="15363" width="12.59765625" style="81" bestFit="1" customWidth="1"/>
    <col min="15364" max="15364" width="12.59765625" style="81" customWidth="1"/>
    <col min="15365" max="15365" width="16.69921875" style="81" bestFit="1" customWidth="1"/>
    <col min="15366" max="15367" width="12.59765625" style="81" bestFit="1" customWidth="1"/>
    <col min="15368" max="15368" width="13.5" style="81" bestFit="1" customWidth="1"/>
    <col min="15369" max="15369" width="12.59765625" style="81" bestFit="1" customWidth="1"/>
    <col min="15370" max="15617" width="11" style="81"/>
    <col min="15618" max="15618" width="26.8984375" style="81" bestFit="1" customWidth="1"/>
    <col min="15619" max="15619" width="12.59765625" style="81" bestFit="1" customWidth="1"/>
    <col min="15620" max="15620" width="12.59765625" style="81" customWidth="1"/>
    <col min="15621" max="15621" width="16.69921875" style="81" bestFit="1" customWidth="1"/>
    <col min="15622" max="15623" width="12.59765625" style="81" bestFit="1" customWidth="1"/>
    <col min="15624" max="15624" width="13.5" style="81" bestFit="1" customWidth="1"/>
    <col min="15625" max="15625" width="12.59765625" style="81" bestFit="1" customWidth="1"/>
    <col min="15626" max="15873" width="11" style="81"/>
    <col min="15874" max="15874" width="26.8984375" style="81" bestFit="1" customWidth="1"/>
    <col min="15875" max="15875" width="12.59765625" style="81" bestFit="1" customWidth="1"/>
    <col min="15876" max="15876" width="12.59765625" style="81" customWidth="1"/>
    <col min="15877" max="15877" width="16.69921875" style="81" bestFit="1" customWidth="1"/>
    <col min="15878" max="15879" width="12.59765625" style="81" bestFit="1" customWidth="1"/>
    <col min="15880" max="15880" width="13.5" style="81" bestFit="1" customWidth="1"/>
    <col min="15881" max="15881" width="12.59765625" style="81" bestFit="1" customWidth="1"/>
    <col min="15882" max="16129" width="11" style="81"/>
    <col min="16130" max="16130" width="26.8984375" style="81" bestFit="1" customWidth="1"/>
    <col min="16131" max="16131" width="12.59765625" style="81" bestFit="1" customWidth="1"/>
    <col min="16132" max="16132" width="12.59765625" style="81" customWidth="1"/>
    <col min="16133" max="16133" width="16.69921875" style="81" bestFit="1" customWidth="1"/>
    <col min="16134" max="16135" width="12.59765625" style="81" bestFit="1" customWidth="1"/>
    <col min="16136" max="16136" width="13.5" style="81" bestFit="1" customWidth="1"/>
    <col min="16137" max="16137" width="12.59765625" style="81" bestFit="1" customWidth="1"/>
    <col min="16138" max="16384" width="11" style="81"/>
  </cols>
  <sheetData>
    <row r="1" spans="1:10" ht="30.75" customHeight="1">
      <c r="B1" s="146" t="s">
        <v>47</v>
      </c>
      <c r="C1" s="146"/>
      <c r="D1" s="146"/>
      <c r="E1" s="146"/>
      <c r="F1" s="146"/>
      <c r="G1" s="146"/>
      <c r="H1" s="146"/>
      <c r="I1" s="146"/>
    </row>
    <row r="2" spans="1:10" ht="27" customHeight="1">
      <c r="A2" s="151" t="s">
        <v>48</v>
      </c>
      <c r="B2" s="151"/>
      <c r="C2" s="151"/>
    </row>
    <row r="3" spans="1:10" ht="20.100000000000001" customHeight="1">
      <c r="A3" s="104" t="s">
        <v>49</v>
      </c>
      <c r="B3" s="147">
        <f>+'Información general de Startup'!D43</f>
        <v>0</v>
      </c>
      <c r="C3" s="147"/>
    </row>
    <row r="4" spans="1:10" ht="20.100000000000001" customHeight="1">
      <c r="A4" s="104" t="s">
        <v>50</v>
      </c>
      <c r="B4" s="148">
        <v>0.15</v>
      </c>
      <c r="C4" s="148"/>
      <c r="H4" s="86"/>
    </row>
    <row r="5" spans="1:10" ht="20.100000000000001" customHeight="1">
      <c r="A5" s="104" t="s">
        <v>68</v>
      </c>
      <c r="B5" s="149">
        <v>3</v>
      </c>
      <c r="C5" s="149"/>
      <c r="F5" s="82"/>
    </row>
    <row r="6" spans="1:10" ht="20.100000000000001" customHeight="1">
      <c r="A6" s="104" t="s">
        <v>104</v>
      </c>
      <c r="B6" s="150">
        <v>12</v>
      </c>
      <c r="C6" s="150"/>
      <c r="F6" s="82"/>
    </row>
    <row r="7" spans="1:10" hidden="1">
      <c r="B7" s="84" t="s">
        <v>52</v>
      </c>
      <c r="C7" s="89">
        <v>0</v>
      </c>
      <c r="D7" s="89"/>
      <c r="E7" s="88" t="s">
        <v>54</v>
      </c>
      <c r="F7" s="90">
        <f>B3-F5-F6-C9-C10</f>
        <v>0</v>
      </c>
      <c r="H7" s="91"/>
    </row>
    <row r="8" spans="1:10" ht="13.8" hidden="1" thickBot="1">
      <c r="B8" s="84" t="s">
        <v>53</v>
      </c>
      <c r="C8" s="89">
        <v>0</v>
      </c>
      <c r="D8" s="89"/>
      <c r="E8" s="92" t="s">
        <v>55</v>
      </c>
      <c r="F8" s="93" t="e">
        <f>EFFECT(RATE(B5*B6,PMT(B4/B6,B5*B6,B3,,C12),F7,,C12,0.1)*B6,B6)</f>
        <v>#NUM!</v>
      </c>
      <c r="H8" s="91"/>
    </row>
    <row r="9" spans="1:10" hidden="1">
      <c r="B9" s="84" t="s">
        <v>56</v>
      </c>
      <c r="C9" s="87">
        <v>0</v>
      </c>
      <c r="D9" s="87"/>
      <c r="G9" s="94"/>
    </row>
    <row r="10" spans="1:10" hidden="1">
      <c r="B10" s="84" t="s">
        <v>57</v>
      </c>
      <c r="C10" s="87">
        <v>0</v>
      </c>
      <c r="D10" s="87"/>
      <c r="H10" s="95"/>
    </row>
    <row r="11" spans="1:10" ht="17.399999999999999" hidden="1">
      <c r="B11" s="84" t="s">
        <v>58</v>
      </c>
      <c r="C11" s="85">
        <v>0</v>
      </c>
      <c r="D11" s="85"/>
      <c r="F11" s="83"/>
      <c r="G11" s="96"/>
    </row>
    <row r="12" spans="1:10" ht="13.8" hidden="1" thickBot="1">
      <c r="B12" s="97" t="s">
        <v>59</v>
      </c>
      <c r="C12" s="87">
        <v>0</v>
      </c>
      <c r="D12" s="87"/>
    </row>
    <row r="13" spans="1:10">
      <c r="C13" s="87"/>
      <c r="D13" s="87"/>
    </row>
    <row r="14" spans="1:10">
      <c r="B14" s="81" t="s">
        <v>51</v>
      </c>
    </row>
    <row r="16" spans="1:10" ht="45.75" customHeight="1">
      <c r="B16" s="103" t="s">
        <v>60</v>
      </c>
      <c r="C16" s="112" t="s">
        <v>61</v>
      </c>
      <c r="D16" s="103" t="s">
        <v>62</v>
      </c>
      <c r="E16" s="103" t="s">
        <v>63</v>
      </c>
      <c r="F16" s="103" t="s">
        <v>64</v>
      </c>
      <c r="G16" s="103" t="s">
        <v>65</v>
      </c>
      <c r="H16" s="103" t="s">
        <v>66</v>
      </c>
      <c r="I16" s="103" t="s">
        <v>67</v>
      </c>
      <c r="J16" s="87"/>
    </row>
    <row r="17" spans="2:10" ht="15" customHeight="1">
      <c r="B17" s="98">
        <v>0</v>
      </c>
      <c r="C17" s="105"/>
      <c r="D17" s="105"/>
      <c r="E17" s="105"/>
      <c r="F17" s="105"/>
      <c r="G17" s="106">
        <f>B3</f>
        <v>0</v>
      </c>
      <c r="H17" s="99"/>
      <c r="I17" s="99"/>
      <c r="J17" s="87"/>
    </row>
    <row r="18" spans="2:10">
      <c r="B18" s="100">
        <f t="shared" ref="B18:B49" si="0">IF(B17&lt;$B$5*$B$6,B17+1,"")</f>
        <v>1</v>
      </c>
      <c r="C18" s="107">
        <f t="shared" ref="C18:C41" si="1">IF(B18="","",-PMT($B$4/$B$6,$B$5*$B$6,$B$3,,$C$12))</f>
        <v>0</v>
      </c>
      <c r="D18" s="108">
        <f t="shared" ref="D18:D41" si="2">IF(B18="","",$B$4/$B$6*G17)</f>
        <v>0</v>
      </c>
      <c r="E18" s="107">
        <f t="shared" ref="E18:E41" si="3">IF(B18="","",C18-D18)</f>
        <v>0</v>
      </c>
      <c r="F18" s="107">
        <f>IF(B18="","",E18+F17)</f>
        <v>0</v>
      </c>
      <c r="G18" s="107">
        <f>IF(B18="","",$G$17-F18)</f>
        <v>0</v>
      </c>
      <c r="H18" s="101">
        <f>IF(B18="","",$C$11*G18)</f>
        <v>0</v>
      </c>
      <c r="I18" s="102">
        <f>IF(B18="","",G18+H18)</f>
        <v>0</v>
      </c>
    </row>
    <row r="19" spans="2:10">
      <c r="B19" s="100">
        <f t="shared" si="0"/>
        <v>2</v>
      </c>
      <c r="C19" s="107">
        <f t="shared" si="1"/>
        <v>0</v>
      </c>
      <c r="D19" s="108">
        <f t="shared" si="2"/>
        <v>0</v>
      </c>
      <c r="E19" s="107">
        <f t="shared" si="3"/>
        <v>0</v>
      </c>
      <c r="F19" s="107">
        <f t="shared" ref="F19:F40" si="4">IF(B19="","",E19+F18)</f>
        <v>0</v>
      </c>
      <c r="G19" s="107">
        <f t="shared" ref="G19:G41" si="5">IF(B19="","",$G$17-F19)</f>
        <v>0</v>
      </c>
      <c r="H19" s="101">
        <f t="shared" ref="H19:H41" si="6">IF(B19="","",$C$11*G19)</f>
        <v>0</v>
      </c>
      <c r="I19" s="102">
        <f t="shared" ref="I19:I41" si="7">IF(B19="","",G19+H19)</f>
        <v>0</v>
      </c>
    </row>
    <row r="20" spans="2:10">
      <c r="B20" s="100">
        <f t="shared" si="0"/>
        <v>3</v>
      </c>
      <c r="C20" s="107">
        <f t="shared" si="1"/>
        <v>0</v>
      </c>
      <c r="D20" s="108">
        <f t="shared" si="2"/>
        <v>0</v>
      </c>
      <c r="E20" s="107">
        <f t="shared" si="3"/>
        <v>0</v>
      </c>
      <c r="F20" s="107">
        <f t="shared" si="4"/>
        <v>0</v>
      </c>
      <c r="G20" s="107">
        <f t="shared" si="5"/>
        <v>0</v>
      </c>
      <c r="H20" s="101">
        <f t="shared" si="6"/>
        <v>0</v>
      </c>
      <c r="I20" s="102">
        <f t="shared" si="7"/>
        <v>0</v>
      </c>
    </row>
    <row r="21" spans="2:10">
      <c r="B21" s="100">
        <f t="shared" si="0"/>
        <v>4</v>
      </c>
      <c r="C21" s="107">
        <f t="shared" si="1"/>
        <v>0</v>
      </c>
      <c r="D21" s="108">
        <f t="shared" si="2"/>
        <v>0</v>
      </c>
      <c r="E21" s="107">
        <f t="shared" si="3"/>
        <v>0</v>
      </c>
      <c r="F21" s="107">
        <f t="shared" si="4"/>
        <v>0</v>
      </c>
      <c r="G21" s="107">
        <f t="shared" si="5"/>
        <v>0</v>
      </c>
      <c r="H21" s="101">
        <f t="shared" si="6"/>
        <v>0</v>
      </c>
      <c r="I21" s="102">
        <f t="shared" si="7"/>
        <v>0</v>
      </c>
    </row>
    <row r="22" spans="2:10">
      <c r="B22" s="100">
        <f t="shared" si="0"/>
        <v>5</v>
      </c>
      <c r="C22" s="107">
        <f t="shared" si="1"/>
        <v>0</v>
      </c>
      <c r="D22" s="108">
        <f t="shared" si="2"/>
        <v>0</v>
      </c>
      <c r="E22" s="107">
        <f t="shared" si="3"/>
        <v>0</v>
      </c>
      <c r="F22" s="107">
        <f t="shared" si="4"/>
        <v>0</v>
      </c>
      <c r="G22" s="107">
        <f t="shared" si="5"/>
        <v>0</v>
      </c>
      <c r="H22" s="101">
        <f t="shared" si="6"/>
        <v>0</v>
      </c>
      <c r="I22" s="102">
        <f t="shared" si="7"/>
        <v>0</v>
      </c>
    </row>
    <row r="23" spans="2:10">
      <c r="B23" s="100">
        <f t="shared" si="0"/>
        <v>6</v>
      </c>
      <c r="C23" s="107">
        <f t="shared" si="1"/>
        <v>0</v>
      </c>
      <c r="D23" s="108">
        <f t="shared" si="2"/>
        <v>0</v>
      </c>
      <c r="E23" s="107">
        <f t="shared" si="3"/>
        <v>0</v>
      </c>
      <c r="F23" s="107">
        <f t="shared" si="4"/>
        <v>0</v>
      </c>
      <c r="G23" s="107">
        <f t="shared" si="5"/>
        <v>0</v>
      </c>
      <c r="H23" s="101">
        <f t="shared" si="6"/>
        <v>0</v>
      </c>
      <c r="I23" s="102">
        <f t="shared" si="7"/>
        <v>0</v>
      </c>
    </row>
    <row r="24" spans="2:10">
      <c r="B24" s="100">
        <f t="shared" si="0"/>
        <v>7</v>
      </c>
      <c r="C24" s="107">
        <f t="shared" si="1"/>
        <v>0</v>
      </c>
      <c r="D24" s="108">
        <f t="shared" si="2"/>
        <v>0</v>
      </c>
      <c r="E24" s="107">
        <f t="shared" si="3"/>
        <v>0</v>
      </c>
      <c r="F24" s="107">
        <f t="shared" si="4"/>
        <v>0</v>
      </c>
      <c r="G24" s="107">
        <f t="shared" si="5"/>
        <v>0</v>
      </c>
      <c r="H24" s="101">
        <f t="shared" si="6"/>
        <v>0</v>
      </c>
      <c r="I24" s="102">
        <f t="shared" si="7"/>
        <v>0</v>
      </c>
    </row>
    <row r="25" spans="2:10">
      <c r="B25" s="100">
        <f t="shared" si="0"/>
        <v>8</v>
      </c>
      <c r="C25" s="107">
        <f t="shared" si="1"/>
        <v>0</v>
      </c>
      <c r="D25" s="108">
        <f t="shared" si="2"/>
        <v>0</v>
      </c>
      <c r="E25" s="107">
        <f t="shared" si="3"/>
        <v>0</v>
      </c>
      <c r="F25" s="107">
        <f t="shared" si="4"/>
        <v>0</v>
      </c>
      <c r="G25" s="107">
        <f t="shared" si="5"/>
        <v>0</v>
      </c>
      <c r="H25" s="101">
        <f t="shared" si="6"/>
        <v>0</v>
      </c>
      <c r="I25" s="102">
        <f t="shared" si="7"/>
        <v>0</v>
      </c>
    </row>
    <row r="26" spans="2:10">
      <c r="B26" s="100">
        <f t="shared" si="0"/>
        <v>9</v>
      </c>
      <c r="C26" s="107">
        <f t="shared" si="1"/>
        <v>0</v>
      </c>
      <c r="D26" s="108">
        <f t="shared" si="2"/>
        <v>0</v>
      </c>
      <c r="E26" s="107">
        <f t="shared" si="3"/>
        <v>0</v>
      </c>
      <c r="F26" s="107">
        <f t="shared" si="4"/>
        <v>0</v>
      </c>
      <c r="G26" s="107">
        <f t="shared" si="5"/>
        <v>0</v>
      </c>
      <c r="H26" s="101">
        <f t="shared" si="6"/>
        <v>0</v>
      </c>
      <c r="I26" s="102">
        <f t="shared" si="7"/>
        <v>0</v>
      </c>
    </row>
    <row r="27" spans="2:10">
      <c r="B27" s="100">
        <f t="shared" si="0"/>
        <v>10</v>
      </c>
      <c r="C27" s="107">
        <f t="shared" si="1"/>
        <v>0</v>
      </c>
      <c r="D27" s="108">
        <f t="shared" si="2"/>
        <v>0</v>
      </c>
      <c r="E27" s="107">
        <f t="shared" si="3"/>
        <v>0</v>
      </c>
      <c r="F27" s="107">
        <f t="shared" si="4"/>
        <v>0</v>
      </c>
      <c r="G27" s="107">
        <f t="shared" si="5"/>
        <v>0</v>
      </c>
      <c r="H27" s="101">
        <f t="shared" si="6"/>
        <v>0</v>
      </c>
      <c r="I27" s="102">
        <f t="shared" si="7"/>
        <v>0</v>
      </c>
    </row>
    <row r="28" spans="2:10">
      <c r="B28" s="100">
        <f t="shared" si="0"/>
        <v>11</v>
      </c>
      <c r="C28" s="107">
        <f t="shared" si="1"/>
        <v>0</v>
      </c>
      <c r="D28" s="108">
        <f t="shared" si="2"/>
        <v>0</v>
      </c>
      <c r="E28" s="107">
        <f t="shared" si="3"/>
        <v>0</v>
      </c>
      <c r="F28" s="107">
        <f t="shared" si="4"/>
        <v>0</v>
      </c>
      <c r="G28" s="107">
        <f t="shared" si="5"/>
        <v>0</v>
      </c>
      <c r="H28" s="101">
        <f t="shared" si="6"/>
        <v>0</v>
      </c>
      <c r="I28" s="102">
        <f t="shared" si="7"/>
        <v>0</v>
      </c>
    </row>
    <row r="29" spans="2:10">
      <c r="B29" s="100">
        <f t="shared" si="0"/>
        <v>12</v>
      </c>
      <c r="C29" s="107">
        <f t="shared" si="1"/>
        <v>0</v>
      </c>
      <c r="D29" s="108">
        <f t="shared" si="2"/>
        <v>0</v>
      </c>
      <c r="E29" s="107">
        <f t="shared" si="3"/>
        <v>0</v>
      </c>
      <c r="F29" s="107">
        <f t="shared" si="4"/>
        <v>0</v>
      </c>
      <c r="G29" s="107">
        <f t="shared" si="5"/>
        <v>0</v>
      </c>
      <c r="H29" s="101">
        <f t="shared" si="6"/>
        <v>0</v>
      </c>
      <c r="I29" s="102">
        <f t="shared" si="7"/>
        <v>0</v>
      </c>
    </row>
    <row r="30" spans="2:10">
      <c r="B30" s="100">
        <f t="shared" si="0"/>
        <v>13</v>
      </c>
      <c r="C30" s="107">
        <f t="shared" si="1"/>
        <v>0</v>
      </c>
      <c r="D30" s="108">
        <f t="shared" si="2"/>
        <v>0</v>
      </c>
      <c r="E30" s="107">
        <f t="shared" si="3"/>
        <v>0</v>
      </c>
      <c r="F30" s="107">
        <f t="shared" si="4"/>
        <v>0</v>
      </c>
      <c r="G30" s="107">
        <f t="shared" si="5"/>
        <v>0</v>
      </c>
      <c r="H30" s="101">
        <f t="shared" si="6"/>
        <v>0</v>
      </c>
      <c r="I30" s="102">
        <f t="shared" si="7"/>
        <v>0</v>
      </c>
    </row>
    <row r="31" spans="2:10">
      <c r="B31" s="100">
        <f t="shared" si="0"/>
        <v>14</v>
      </c>
      <c r="C31" s="107">
        <f t="shared" si="1"/>
        <v>0</v>
      </c>
      <c r="D31" s="108">
        <f t="shared" si="2"/>
        <v>0</v>
      </c>
      <c r="E31" s="107">
        <f t="shared" si="3"/>
        <v>0</v>
      </c>
      <c r="F31" s="107">
        <f t="shared" si="4"/>
        <v>0</v>
      </c>
      <c r="G31" s="107">
        <f t="shared" si="5"/>
        <v>0</v>
      </c>
      <c r="H31" s="101">
        <f t="shared" si="6"/>
        <v>0</v>
      </c>
      <c r="I31" s="102">
        <f t="shared" si="7"/>
        <v>0</v>
      </c>
    </row>
    <row r="32" spans="2:10">
      <c r="B32" s="100">
        <f t="shared" si="0"/>
        <v>15</v>
      </c>
      <c r="C32" s="107">
        <f t="shared" si="1"/>
        <v>0</v>
      </c>
      <c r="D32" s="108">
        <f t="shared" si="2"/>
        <v>0</v>
      </c>
      <c r="E32" s="107">
        <f t="shared" si="3"/>
        <v>0</v>
      </c>
      <c r="F32" s="107">
        <f t="shared" si="4"/>
        <v>0</v>
      </c>
      <c r="G32" s="107">
        <f t="shared" si="5"/>
        <v>0</v>
      </c>
      <c r="H32" s="101">
        <f t="shared" si="6"/>
        <v>0</v>
      </c>
      <c r="I32" s="102">
        <f t="shared" si="7"/>
        <v>0</v>
      </c>
    </row>
    <row r="33" spans="2:9">
      <c r="B33" s="100">
        <f t="shared" si="0"/>
        <v>16</v>
      </c>
      <c r="C33" s="107">
        <f t="shared" si="1"/>
        <v>0</v>
      </c>
      <c r="D33" s="108">
        <f t="shared" si="2"/>
        <v>0</v>
      </c>
      <c r="E33" s="107">
        <f t="shared" si="3"/>
        <v>0</v>
      </c>
      <c r="F33" s="107">
        <f t="shared" si="4"/>
        <v>0</v>
      </c>
      <c r="G33" s="107">
        <f t="shared" si="5"/>
        <v>0</v>
      </c>
      <c r="H33" s="101">
        <f t="shared" si="6"/>
        <v>0</v>
      </c>
      <c r="I33" s="102">
        <f t="shared" si="7"/>
        <v>0</v>
      </c>
    </row>
    <row r="34" spans="2:9">
      <c r="B34" s="100">
        <f t="shared" si="0"/>
        <v>17</v>
      </c>
      <c r="C34" s="107">
        <f t="shared" si="1"/>
        <v>0</v>
      </c>
      <c r="D34" s="108">
        <f t="shared" si="2"/>
        <v>0</v>
      </c>
      <c r="E34" s="107">
        <f t="shared" si="3"/>
        <v>0</v>
      </c>
      <c r="F34" s="107">
        <f t="shared" si="4"/>
        <v>0</v>
      </c>
      <c r="G34" s="107">
        <f t="shared" si="5"/>
        <v>0</v>
      </c>
      <c r="H34" s="101">
        <f t="shared" si="6"/>
        <v>0</v>
      </c>
      <c r="I34" s="102">
        <f t="shared" si="7"/>
        <v>0</v>
      </c>
    </row>
    <row r="35" spans="2:9">
      <c r="B35" s="100">
        <f t="shared" si="0"/>
        <v>18</v>
      </c>
      <c r="C35" s="107">
        <f t="shared" si="1"/>
        <v>0</v>
      </c>
      <c r="D35" s="108">
        <f t="shared" si="2"/>
        <v>0</v>
      </c>
      <c r="E35" s="107">
        <f t="shared" si="3"/>
        <v>0</v>
      </c>
      <c r="F35" s="107">
        <f t="shared" si="4"/>
        <v>0</v>
      </c>
      <c r="G35" s="107">
        <f t="shared" si="5"/>
        <v>0</v>
      </c>
      <c r="H35" s="101">
        <f t="shared" si="6"/>
        <v>0</v>
      </c>
      <c r="I35" s="102">
        <f t="shared" si="7"/>
        <v>0</v>
      </c>
    </row>
    <row r="36" spans="2:9">
      <c r="B36" s="100">
        <f t="shared" si="0"/>
        <v>19</v>
      </c>
      <c r="C36" s="107">
        <f t="shared" si="1"/>
        <v>0</v>
      </c>
      <c r="D36" s="108">
        <f t="shared" si="2"/>
        <v>0</v>
      </c>
      <c r="E36" s="107">
        <f t="shared" si="3"/>
        <v>0</v>
      </c>
      <c r="F36" s="107">
        <f t="shared" si="4"/>
        <v>0</v>
      </c>
      <c r="G36" s="107">
        <f t="shared" si="5"/>
        <v>0</v>
      </c>
      <c r="H36" s="101">
        <f t="shared" si="6"/>
        <v>0</v>
      </c>
      <c r="I36" s="102">
        <f t="shared" si="7"/>
        <v>0</v>
      </c>
    </row>
    <row r="37" spans="2:9">
      <c r="B37" s="100">
        <f t="shared" si="0"/>
        <v>20</v>
      </c>
      <c r="C37" s="107">
        <f t="shared" si="1"/>
        <v>0</v>
      </c>
      <c r="D37" s="108">
        <f t="shared" si="2"/>
        <v>0</v>
      </c>
      <c r="E37" s="107">
        <f t="shared" si="3"/>
        <v>0</v>
      </c>
      <c r="F37" s="107">
        <f t="shared" si="4"/>
        <v>0</v>
      </c>
      <c r="G37" s="107">
        <f t="shared" si="5"/>
        <v>0</v>
      </c>
      <c r="H37" s="101">
        <f t="shared" si="6"/>
        <v>0</v>
      </c>
      <c r="I37" s="102">
        <f t="shared" si="7"/>
        <v>0</v>
      </c>
    </row>
    <row r="38" spans="2:9">
      <c r="B38" s="100">
        <f t="shared" si="0"/>
        <v>21</v>
      </c>
      <c r="C38" s="107">
        <f t="shared" si="1"/>
        <v>0</v>
      </c>
      <c r="D38" s="108">
        <f t="shared" si="2"/>
        <v>0</v>
      </c>
      <c r="E38" s="107">
        <f t="shared" si="3"/>
        <v>0</v>
      </c>
      <c r="F38" s="107">
        <f t="shared" si="4"/>
        <v>0</v>
      </c>
      <c r="G38" s="107">
        <f t="shared" si="5"/>
        <v>0</v>
      </c>
      <c r="H38" s="101">
        <f t="shared" si="6"/>
        <v>0</v>
      </c>
      <c r="I38" s="102">
        <f t="shared" si="7"/>
        <v>0</v>
      </c>
    </row>
    <row r="39" spans="2:9">
      <c r="B39" s="100">
        <f t="shared" si="0"/>
        <v>22</v>
      </c>
      <c r="C39" s="107">
        <f t="shared" si="1"/>
        <v>0</v>
      </c>
      <c r="D39" s="108">
        <f t="shared" si="2"/>
        <v>0</v>
      </c>
      <c r="E39" s="107">
        <f t="shared" si="3"/>
        <v>0</v>
      </c>
      <c r="F39" s="107">
        <f t="shared" si="4"/>
        <v>0</v>
      </c>
      <c r="G39" s="107">
        <f t="shared" si="5"/>
        <v>0</v>
      </c>
      <c r="H39" s="101">
        <f t="shared" si="6"/>
        <v>0</v>
      </c>
      <c r="I39" s="102">
        <f t="shared" si="7"/>
        <v>0</v>
      </c>
    </row>
    <row r="40" spans="2:9">
      <c r="B40" s="100">
        <f t="shared" si="0"/>
        <v>23</v>
      </c>
      <c r="C40" s="107">
        <f t="shared" si="1"/>
        <v>0</v>
      </c>
      <c r="D40" s="108">
        <f t="shared" si="2"/>
        <v>0</v>
      </c>
      <c r="E40" s="107">
        <f t="shared" si="3"/>
        <v>0</v>
      </c>
      <c r="F40" s="107">
        <f t="shared" si="4"/>
        <v>0</v>
      </c>
      <c r="G40" s="107">
        <f t="shared" si="5"/>
        <v>0</v>
      </c>
      <c r="H40" s="101">
        <f t="shared" si="6"/>
        <v>0</v>
      </c>
      <c r="I40" s="102">
        <f t="shared" si="7"/>
        <v>0</v>
      </c>
    </row>
    <row r="41" spans="2:9">
      <c r="B41" s="100">
        <f t="shared" si="0"/>
        <v>24</v>
      </c>
      <c r="C41" s="107">
        <f t="shared" si="1"/>
        <v>0</v>
      </c>
      <c r="D41" s="108">
        <f t="shared" si="2"/>
        <v>0</v>
      </c>
      <c r="E41" s="107">
        <f t="shared" si="3"/>
        <v>0</v>
      </c>
      <c r="F41" s="107">
        <f>IF(B41="","",E41+F40)</f>
        <v>0</v>
      </c>
      <c r="G41" s="107">
        <f t="shared" si="5"/>
        <v>0</v>
      </c>
      <c r="H41" s="101">
        <f t="shared" si="6"/>
        <v>0</v>
      </c>
      <c r="I41" s="102">
        <f t="shared" si="7"/>
        <v>0</v>
      </c>
    </row>
    <row r="42" spans="2:9">
      <c r="B42" s="87">
        <f t="shared" si="0"/>
        <v>25</v>
      </c>
      <c r="C42" s="109">
        <f t="shared" ref="C42:C73" si="8">IF(B42&lt;=$B$5*$B$6,-PMT($B$4/$B$6,$B$5*$B$6,$B$3,,$C$12),"")</f>
        <v>0</v>
      </c>
      <c r="D42" s="110">
        <f t="shared" ref="D42:D73" si="9">IF(B42&lt;=$B$5*$B$6,-IPMT($B$4/$B$6,B42,$B$5*$B$6,$B$3,,$C$12),"")</f>
        <v>0</v>
      </c>
      <c r="E42" s="109">
        <f t="shared" ref="E42:E73" si="10">IF(B42&lt;=$B$5*$B$6,-PPMT($B$4/$B$6,B42,$B$5*$B$6,$B$3,,$C$12),"")</f>
        <v>0</v>
      </c>
      <c r="F42" s="109">
        <f>IF(B42&lt;=$B$5*$B$6,SUM($E$18:E42),"")</f>
        <v>0</v>
      </c>
      <c r="G42" s="109">
        <f t="shared" ref="G42:G73" si="11">IF(B42&lt;=$B$5*$B$6,$B$3-F42,"")</f>
        <v>0</v>
      </c>
      <c r="H42" s="83">
        <f t="shared" ref="H42:H105" si="12">IF(G42="","",$C$11*G42)</f>
        <v>0</v>
      </c>
      <c r="I42" s="83">
        <f t="shared" ref="I42:I105" si="13">IF(H42="","",G42+H42)</f>
        <v>0</v>
      </c>
    </row>
    <row r="43" spans="2:9">
      <c r="B43" s="87">
        <f t="shared" si="0"/>
        <v>26</v>
      </c>
      <c r="C43" s="109">
        <f t="shared" si="8"/>
        <v>0</v>
      </c>
      <c r="D43" s="110">
        <f t="shared" si="9"/>
        <v>0</v>
      </c>
      <c r="E43" s="109">
        <f t="shared" si="10"/>
        <v>0</v>
      </c>
      <c r="F43" s="109">
        <f>IF(B43&lt;=$B$5*$B$6,SUM($E$18:E43),"")</f>
        <v>0</v>
      </c>
      <c r="G43" s="109">
        <f t="shared" si="11"/>
        <v>0</v>
      </c>
      <c r="H43" s="83">
        <f t="shared" si="12"/>
        <v>0</v>
      </c>
      <c r="I43" s="83">
        <f t="shared" si="13"/>
        <v>0</v>
      </c>
    </row>
    <row r="44" spans="2:9">
      <c r="B44" s="87">
        <f t="shared" si="0"/>
        <v>27</v>
      </c>
      <c r="C44" s="109">
        <f t="shared" si="8"/>
        <v>0</v>
      </c>
      <c r="D44" s="110">
        <f t="shared" si="9"/>
        <v>0</v>
      </c>
      <c r="E44" s="109">
        <f t="shared" si="10"/>
        <v>0</v>
      </c>
      <c r="F44" s="109">
        <f>IF(B44&lt;=$B$5*$B$6,SUM($E$18:E44),"")</f>
        <v>0</v>
      </c>
      <c r="G44" s="109">
        <f t="shared" si="11"/>
        <v>0</v>
      </c>
      <c r="H44" s="83">
        <f t="shared" si="12"/>
        <v>0</v>
      </c>
      <c r="I44" s="83">
        <f t="shared" si="13"/>
        <v>0</v>
      </c>
    </row>
    <row r="45" spans="2:9">
      <c r="B45" s="87">
        <f t="shared" si="0"/>
        <v>28</v>
      </c>
      <c r="C45" s="109">
        <f t="shared" si="8"/>
        <v>0</v>
      </c>
      <c r="D45" s="110">
        <f t="shared" si="9"/>
        <v>0</v>
      </c>
      <c r="E45" s="109">
        <f t="shared" si="10"/>
        <v>0</v>
      </c>
      <c r="F45" s="109">
        <f>IF(B45&lt;=$B$5*$B$6,SUM($E$18:E45),"")</f>
        <v>0</v>
      </c>
      <c r="G45" s="109">
        <f t="shared" si="11"/>
        <v>0</v>
      </c>
      <c r="H45" s="83">
        <f t="shared" si="12"/>
        <v>0</v>
      </c>
      <c r="I45" s="83">
        <f t="shared" si="13"/>
        <v>0</v>
      </c>
    </row>
    <row r="46" spans="2:9">
      <c r="B46" s="87">
        <f t="shared" si="0"/>
        <v>29</v>
      </c>
      <c r="C46" s="109">
        <f t="shared" si="8"/>
        <v>0</v>
      </c>
      <c r="D46" s="110">
        <f t="shared" si="9"/>
        <v>0</v>
      </c>
      <c r="E46" s="109">
        <f t="shared" si="10"/>
        <v>0</v>
      </c>
      <c r="F46" s="109">
        <f>IF(B46&lt;=$B$5*$B$6,SUM($E$18:E46),"")</f>
        <v>0</v>
      </c>
      <c r="G46" s="109">
        <f t="shared" si="11"/>
        <v>0</v>
      </c>
      <c r="H46" s="83">
        <f t="shared" si="12"/>
        <v>0</v>
      </c>
      <c r="I46" s="83">
        <f t="shared" si="13"/>
        <v>0</v>
      </c>
    </row>
    <row r="47" spans="2:9">
      <c r="B47" s="87">
        <f t="shared" si="0"/>
        <v>30</v>
      </c>
      <c r="C47" s="109">
        <f t="shared" si="8"/>
        <v>0</v>
      </c>
      <c r="D47" s="110">
        <f t="shared" si="9"/>
        <v>0</v>
      </c>
      <c r="E47" s="109">
        <f t="shared" si="10"/>
        <v>0</v>
      </c>
      <c r="F47" s="109">
        <f>IF(B47&lt;=$B$5*$B$6,SUM($E$18:E47),"")</f>
        <v>0</v>
      </c>
      <c r="G47" s="109">
        <f t="shared" si="11"/>
        <v>0</v>
      </c>
      <c r="H47" s="83">
        <f t="shared" si="12"/>
        <v>0</v>
      </c>
      <c r="I47" s="83">
        <f t="shared" si="13"/>
        <v>0</v>
      </c>
    </row>
    <row r="48" spans="2:9">
      <c r="B48" s="87">
        <f t="shared" si="0"/>
        <v>31</v>
      </c>
      <c r="C48" s="109">
        <f t="shared" si="8"/>
        <v>0</v>
      </c>
      <c r="D48" s="110">
        <f t="shared" si="9"/>
        <v>0</v>
      </c>
      <c r="E48" s="109">
        <f t="shared" si="10"/>
        <v>0</v>
      </c>
      <c r="F48" s="109">
        <f>IF(B48&lt;=$B$5*$B$6,SUM($E$18:E48),"")</f>
        <v>0</v>
      </c>
      <c r="G48" s="109">
        <f t="shared" si="11"/>
        <v>0</v>
      </c>
      <c r="H48" s="83">
        <f t="shared" si="12"/>
        <v>0</v>
      </c>
      <c r="I48" s="83">
        <f t="shared" si="13"/>
        <v>0</v>
      </c>
    </row>
    <row r="49" spans="2:9">
      <c r="B49" s="87">
        <f t="shared" si="0"/>
        <v>32</v>
      </c>
      <c r="C49" s="109">
        <f t="shared" si="8"/>
        <v>0</v>
      </c>
      <c r="D49" s="110">
        <f t="shared" si="9"/>
        <v>0</v>
      </c>
      <c r="E49" s="109">
        <f t="shared" si="10"/>
        <v>0</v>
      </c>
      <c r="F49" s="109">
        <f>IF(B49&lt;=$B$5*$B$6,SUM($E$18:E49),"")</f>
        <v>0</v>
      </c>
      <c r="G49" s="109">
        <f t="shared" si="11"/>
        <v>0</v>
      </c>
      <c r="H49" s="83">
        <f t="shared" si="12"/>
        <v>0</v>
      </c>
      <c r="I49" s="83">
        <f t="shared" si="13"/>
        <v>0</v>
      </c>
    </row>
    <row r="50" spans="2:9">
      <c r="B50" s="87">
        <f t="shared" ref="B50:B81" si="14">IF(B49&lt;$B$5*$B$6,B49+1,"")</f>
        <v>33</v>
      </c>
      <c r="C50" s="109">
        <f t="shared" si="8"/>
        <v>0</v>
      </c>
      <c r="D50" s="110">
        <f t="shared" si="9"/>
        <v>0</v>
      </c>
      <c r="E50" s="109">
        <f t="shared" si="10"/>
        <v>0</v>
      </c>
      <c r="F50" s="109">
        <f>IF(B50&lt;=$B$5*$B$6,SUM($E$18:E50),"")</f>
        <v>0</v>
      </c>
      <c r="G50" s="109">
        <f t="shared" si="11"/>
        <v>0</v>
      </c>
      <c r="H50" s="83">
        <f t="shared" si="12"/>
        <v>0</v>
      </c>
      <c r="I50" s="83">
        <f t="shared" si="13"/>
        <v>0</v>
      </c>
    </row>
    <row r="51" spans="2:9">
      <c r="B51" s="87">
        <f t="shared" si="14"/>
        <v>34</v>
      </c>
      <c r="C51" s="109">
        <f t="shared" si="8"/>
        <v>0</v>
      </c>
      <c r="D51" s="110">
        <f t="shared" si="9"/>
        <v>0</v>
      </c>
      <c r="E51" s="109">
        <f t="shared" si="10"/>
        <v>0</v>
      </c>
      <c r="F51" s="109">
        <f>IF(B51&lt;=$B$5*$B$6,SUM($E$18:E51),"")</f>
        <v>0</v>
      </c>
      <c r="G51" s="109">
        <f t="shared" si="11"/>
        <v>0</v>
      </c>
      <c r="H51" s="83">
        <f t="shared" si="12"/>
        <v>0</v>
      </c>
      <c r="I51" s="83">
        <f t="shared" si="13"/>
        <v>0</v>
      </c>
    </row>
    <row r="52" spans="2:9">
      <c r="B52" s="87">
        <f t="shared" si="14"/>
        <v>35</v>
      </c>
      <c r="C52" s="109">
        <f t="shared" si="8"/>
        <v>0</v>
      </c>
      <c r="D52" s="110">
        <f t="shared" si="9"/>
        <v>0</v>
      </c>
      <c r="E52" s="109">
        <f t="shared" si="10"/>
        <v>0</v>
      </c>
      <c r="F52" s="109">
        <f>IF(B52&lt;=$B$5*$B$6,SUM($E$18:E52),"")</f>
        <v>0</v>
      </c>
      <c r="G52" s="109">
        <f t="shared" si="11"/>
        <v>0</v>
      </c>
      <c r="H52" s="83">
        <f t="shared" si="12"/>
        <v>0</v>
      </c>
      <c r="I52" s="83">
        <f t="shared" si="13"/>
        <v>0</v>
      </c>
    </row>
    <row r="53" spans="2:9">
      <c r="B53" s="87">
        <f t="shared" si="14"/>
        <v>36</v>
      </c>
      <c r="C53" s="109">
        <f t="shared" si="8"/>
        <v>0</v>
      </c>
      <c r="D53" s="110">
        <f t="shared" si="9"/>
        <v>0</v>
      </c>
      <c r="E53" s="109">
        <f t="shared" si="10"/>
        <v>0</v>
      </c>
      <c r="F53" s="109">
        <f>IF(B53&lt;=$B$5*$B$6,SUM($E$18:E53),"")</f>
        <v>0</v>
      </c>
      <c r="G53" s="109">
        <f t="shared" si="11"/>
        <v>0</v>
      </c>
      <c r="H53" s="83">
        <f t="shared" si="12"/>
        <v>0</v>
      </c>
      <c r="I53" s="83">
        <f t="shared" si="13"/>
        <v>0</v>
      </c>
    </row>
    <row r="54" spans="2:9">
      <c r="B54" s="87" t="str">
        <f t="shared" si="14"/>
        <v/>
      </c>
      <c r="C54" s="109" t="str">
        <f t="shared" si="8"/>
        <v/>
      </c>
      <c r="D54" s="110" t="str">
        <f t="shared" si="9"/>
        <v/>
      </c>
      <c r="E54" s="109" t="str">
        <f t="shared" si="10"/>
        <v/>
      </c>
      <c r="F54" s="109" t="str">
        <f>IF(B54&lt;=$B$5*$B$6,SUM($E$18:E54),"")</f>
        <v/>
      </c>
      <c r="G54" s="109" t="str">
        <f t="shared" si="11"/>
        <v/>
      </c>
      <c r="H54" s="83" t="str">
        <f t="shared" si="12"/>
        <v/>
      </c>
      <c r="I54" s="83" t="str">
        <f t="shared" si="13"/>
        <v/>
      </c>
    </row>
    <row r="55" spans="2:9">
      <c r="B55" s="87" t="str">
        <f t="shared" si="14"/>
        <v/>
      </c>
      <c r="C55" s="109" t="str">
        <f t="shared" si="8"/>
        <v/>
      </c>
      <c r="D55" s="110" t="str">
        <f t="shared" si="9"/>
        <v/>
      </c>
      <c r="E55" s="109" t="str">
        <f t="shared" si="10"/>
        <v/>
      </c>
      <c r="F55" s="109" t="str">
        <f>IF(B55&lt;=$B$5*$B$6,SUM($E$18:E55),"")</f>
        <v/>
      </c>
      <c r="G55" s="109" t="str">
        <f t="shared" si="11"/>
        <v/>
      </c>
      <c r="H55" s="83" t="str">
        <f t="shared" si="12"/>
        <v/>
      </c>
      <c r="I55" s="83" t="str">
        <f t="shared" si="13"/>
        <v/>
      </c>
    </row>
    <row r="56" spans="2:9">
      <c r="B56" s="87" t="str">
        <f t="shared" si="14"/>
        <v/>
      </c>
      <c r="C56" s="109" t="str">
        <f t="shared" si="8"/>
        <v/>
      </c>
      <c r="D56" s="110" t="str">
        <f t="shared" si="9"/>
        <v/>
      </c>
      <c r="E56" s="109" t="str">
        <f t="shared" si="10"/>
        <v/>
      </c>
      <c r="F56" s="109" t="str">
        <f>IF(B56&lt;=$B$5*$B$6,SUM($E$18:E56),"")</f>
        <v/>
      </c>
      <c r="G56" s="109" t="str">
        <f t="shared" si="11"/>
        <v/>
      </c>
      <c r="H56" s="83" t="str">
        <f t="shared" si="12"/>
        <v/>
      </c>
      <c r="I56" s="83" t="str">
        <f t="shared" si="13"/>
        <v/>
      </c>
    </row>
    <row r="57" spans="2:9">
      <c r="B57" s="87" t="str">
        <f t="shared" si="14"/>
        <v/>
      </c>
      <c r="C57" s="109" t="str">
        <f t="shared" si="8"/>
        <v/>
      </c>
      <c r="D57" s="110" t="str">
        <f t="shared" si="9"/>
        <v/>
      </c>
      <c r="E57" s="109" t="str">
        <f t="shared" si="10"/>
        <v/>
      </c>
      <c r="F57" s="109" t="str">
        <f>IF(B57&lt;=$B$5*$B$6,SUM($E$18:E57),"")</f>
        <v/>
      </c>
      <c r="G57" s="109" t="str">
        <f t="shared" si="11"/>
        <v/>
      </c>
      <c r="H57" s="83" t="str">
        <f t="shared" si="12"/>
        <v/>
      </c>
      <c r="I57" s="83" t="str">
        <f t="shared" si="13"/>
        <v/>
      </c>
    </row>
    <row r="58" spans="2:9">
      <c r="B58" s="87" t="str">
        <f t="shared" si="14"/>
        <v/>
      </c>
      <c r="C58" s="109" t="str">
        <f t="shared" si="8"/>
        <v/>
      </c>
      <c r="D58" s="110" t="str">
        <f t="shared" si="9"/>
        <v/>
      </c>
      <c r="E58" s="109" t="str">
        <f t="shared" si="10"/>
        <v/>
      </c>
      <c r="F58" s="109" t="str">
        <f>IF(B58&lt;=$B$5*$B$6,SUM($E$18:E58),"")</f>
        <v/>
      </c>
      <c r="G58" s="109" t="str">
        <f t="shared" si="11"/>
        <v/>
      </c>
      <c r="H58" s="83" t="str">
        <f t="shared" si="12"/>
        <v/>
      </c>
      <c r="I58" s="83" t="str">
        <f t="shared" si="13"/>
        <v/>
      </c>
    </row>
    <row r="59" spans="2:9">
      <c r="B59" s="87" t="str">
        <f t="shared" si="14"/>
        <v/>
      </c>
      <c r="C59" s="109" t="str">
        <f t="shared" si="8"/>
        <v/>
      </c>
      <c r="D59" s="110" t="str">
        <f t="shared" si="9"/>
        <v/>
      </c>
      <c r="E59" s="109" t="str">
        <f t="shared" si="10"/>
        <v/>
      </c>
      <c r="F59" s="109" t="str">
        <f>IF(B59&lt;=$B$5*$B$6,SUM($E$18:E59),"")</f>
        <v/>
      </c>
      <c r="G59" s="109" t="str">
        <f t="shared" si="11"/>
        <v/>
      </c>
      <c r="H59" s="83" t="str">
        <f t="shared" si="12"/>
        <v/>
      </c>
      <c r="I59" s="83" t="str">
        <f t="shared" si="13"/>
        <v/>
      </c>
    </row>
    <row r="60" spans="2:9">
      <c r="B60" s="87" t="str">
        <f t="shared" si="14"/>
        <v/>
      </c>
      <c r="C60" s="109" t="str">
        <f t="shared" si="8"/>
        <v/>
      </c>
      <c r="D60" s="110" t="str">
        <f t="shared" si="9"/>
        <v/>
      </c>
      <c r="E60" s="109" t="str">
        <f t="shared" si="10"/>
        <v/>
      </c>
      <c r="F60" s="109" t="str">
        <f>IF(B60&lt;=$B$5*$B$6,SUM($E$18:E60),"")</f>
        <v/>
      </c>
      <c r="G60" s="109" t="str">
        <f t="shared" si="11"/>
        <v/>
      </c>
      <c r="H60" s="83" t="str">
        <f t="shared" si="12"/>
        <v/>
      </c>
      <c r="I60" s="83" t="str">
        <f t="shared" si="13"/>
        <v/>
      </c>
    </row>
    <row r="61" spans="2:9">
      <c r="B61" s="87" t="str">
        <f t="shared" si="14"/>
        <v/>
      </c>
      <c r="C61" s="109" t="str">
        <f t="shared" si="8"/>
        <v/>
      </c>
      <c r="D61" s="110" t="str">
        <f t="shared" si="9"/>
        <v/>
      </c>
      <c r="E61" s="109" t="str">
        <f t="shared" si="10"/>
        <v/>
      </c>
      <c r="F61" s="109" t="str">
        <f>IF(B61&lt;=$B$5*$B$6,SUM($E$18:E61),"")</f>
        <v/>
      </c>
      <c r="G61" s="109" t="str">
        <f t="shared" si="11"/>
        <v/>
      </c>
      <c r="H61" s="83" t="str">
        <f t="shared" si="12"/>
        <v/>
      </c>
      <c r="I61" s="83" t="str">
        <f t="shared" si="13"/>
        <v/>
      </c>
    </row>
    <row r="62" spans="2:9">
      <c r="B62" s="87" t="str">
        <f t="shared" si="14"/>
        <v/>
      </c>
      <c r="C62" s="109" t="str">
        <f t="shared" si="8"/>
        <v/>
      </c>
      <c r="D62" s="110" t="str">
        <f t="shared" si="9"/>
        <v/>
      </c>
      <c r="E62" s="109" t="str">
        <f t="shared" si="10"/>
        <v/>
      </c>
      <c r="F62" s="109" t="str">
        <f>IF(B62&lt;=$B$5*$B$6,SUM($E$18:E62),"")</f>
        <v/>
      </c>
      <c r="G62" s="109" t="str">
        <f t="shared" si="11"/>
        <v/>
      </c>
      <c r="H62" s="83" t="str">
        <f t="shared" si="12"/>
        <v/>
      </c>
      <c r="I62" s="83" t="str">
        <f t="shared" si="13"/>
        <v/>
      </c>
    </row>
    <row r="63" spans="2:9">
      <c r="B63" s="87" t="str">
        <f t="shared" si="14"/>
        <v/>
      </c>
      <c r="C63" s="109" t="str">
        <f t="shared" si="8"/>
        <v/>
      </c>
      <c r="D63" s="110" t="str">
        <f t="shared" si="9"/>
        <v/>
      </c>
      <c r="E63" s="109" t="str">
        <f t="shared" si="10"/>
        <v/>
      </c>
      <c r="F63" s="109" t="str">
        <f>IF(B63&lt;=$B$5*$B$6,SUM($E$18:E63),"")</f>
        <v/>
      </c>
      <c r="G63" s="109" t="str">
        <f t="shared" si="11"/>
        <v/>
      </c>
      <c r="H63" s="83" t="str">
        <f t="shared" si="12"/>
        <v/>
      </c>
      <c r="I63" s="83" t="str">
        <f t="shared" si="13"/>
        <v/>
      </c>
    </row>
    <row r="64" spans="2:9">
      <c r="B64" s="87" t="str">
        <f t="shared" si="14"/>
        <v/>
      </c>
      <c r="C64" s="109" t="str">
        <f t="shared" si="8"/>
        <v/>
      </c>
      <c r="D64" s="110" t="str">
        <f t="shared" si="9"/>
        <v/>
      </c>
      <c r="E64" s="109" t="str">
        <f t="shared" si="10"/>
        <v/>
      </c>
      <c r="F64" s="109" t="str">
        <f>IF(B64&lt;=$B$5*$B$6,SUM($E$18:E64),"")</f>
        <v/>
      </c>
      <c r="G64" s="109" t="str">
        <f t="shared" si="11"/>
        <v/>
      </c>
      <c r="H64" s="83" t="str">
        <f t="shared" si="12"/>
        <v/>
      </c>
      <c r="I64" s="83" t="str">
        <f t="shared" si="13"/>
        <v/>
      </c>
    </row>
    <row r="65" spans="2:9">
      <c r="B65" s="87" t="str">
        <f t="shared" si="14"/>
        <v/>
      </c>
      <c r="C65" s="109" t="str">
        <f t="shared" si="8"/>
        <v/>
      </c>
      <c r="D65" s="110" t="str">
        <f t="shared" si="9"/>
        <v/>
      </c>
      <c r="E65" s="109" t="str">
        <f t="shared" si="10"/>
        <v/>
      </c>
      <c r="F65" s="109" t="str">
        <f>IF(B65&lt;=$B$5*$B$6,SUM($E$18:E65),"")</f>
        <v/>
      </c>
      <c r="G65" s="109" t="str">
        <f t="shared" si="11"/>
        <v/>
      </c>
      <c r="H65" s="83" t="str">
        <f t="shared" si="12"/>
        <v/>
      </c>
      <c r="I65" s="83" t="str">
        <f t="shared" si="13"/>
        <v/>
      </c>
    </row>
    <row r="66" spans="2:9">
      <c r="B66" s="87" t="str">
        <f t="shared" si="14"/>
        <v/>
      </c>
      <c r="C66" s="109" t="str">
        <f t="shared" si="8"/>
        <v/>
      </c>
      <c r="D66" s="110" t="str">
        <f t="shared" si="9"/>
        <v/>
      </c>
      <c r="E66" s="109" t="str">
        <f t="shared" si="10"/>
        <v/>
      </c>
      <c r="F66" s="109" t="str">
        <f>IF(B66&lt;=$B$5*$B$6,SUM($E$18:E66),"")</f>
        <v/>
      </c>
      <c r="G66" s="109" t="str">
        <f t="shared" si="11"/>
        <v/>
      </c>
      <c r="H66" s="83" t="str">
        <f t="shared" si="12"/>
        <v/>
      </c>
      <c r="I66" s="83" t="str">
        <f t="shared" si="13"/>
        <v/>
      </c>
    </row>
    <row r="67" spans="2:9">
      <c r="B67" s="87" t="str">
        <f t="shared" si="14"/>
        <v/>
      </c>
      <c r="C67" s="109" t="str">
        <f t="shared" si="8"/>
        <v/>
      </c>
      <c r="D67" s="110" t="str">
        <f t="shared" si="9"/>
        <v/>
      </c>
      <c r="E67" s="109" t="str">
        <f t="shared" si="10"/>
        <v/>
      </c>
      <c r="F67" s="109" t="str">
        <f>IF(B67&lt;=$B$5*$B$6,SUM($E$18:E67),"")</f>
        <v/>
      </c>
      <c r="G67" s="109" t="str">
        <f t="shared" si="11"/>
        <v/>
      </c>
      <c r="H67" s="83" t="str">
        <f t="shared" si="12"/>
        <v/>
      </c>
      <c r="I67" s="83" t="str">
        <f t="shared" si="13"/>
        <v/>
      </c>
    </row>
    <row r="68" spans="2:9">
      <c r="B68" s="87" t="str">
        <f t="shared" si="14"/>
        <v/>
      </c>
      <c r="C68" s="109" t="str">
        <f t="shared" si="8"/>
        <v/>
      </c>
      <c r="D68" s="110" t="str">
        <f t="shared" si="9"/>
        <v/>
      </c>
      <c r="E68" s="109" t="str">
        <f t="shared" si="10"/>
        <v/>
      </c>
      <c r="F68" s="109" t="str">
        <f>IF(B68&lt;=$B$5*$B$6,SUM($E$18:E68),"")</f>
        <v/>
      </c>
      <c r="G68" s="109" t="str">
        <f t="shared" si="11"/>
        <v/>
      </c>
      <c r="H68" s="83" t="str">
        <f t="shared" si="12"/>
        <v/>
      </c>
      <c r="I68" s="83" t="str">
        <f t="shared" si="13"/>
        <v/>
      </c>
    </row>
    <row r="69" spans="2:9">
      <c r="B69" s="87" t="str">
        <f t="shared" si="14"/>
        <v/>
      </c>
      <c r="C69" s="109" t="str">
        <f t="shared" si="8"/>
        <v/>
      </c>
      <c r="D69" s="110" t="str">
        <f t="shared" si="9"/>
        <v/>
      </c>
      <c r="E69" s="109" t="str">
        <f t="shared" si="10"/>
        <v/>
      </c>
      <c r="F69" s="109" t="str">
        <f>IF(B69&lt;=$B$5*$B$6,SUM($E$18:E69),"")</f>
        <v/>
      </c>
      <c r="G69" s="109" t="str">
        <f t="shared" si="11"/>
        <v/>
      </c>
      <c r="H69" s="83" t="str">
        <f t="shared" si="12"/>
        <v/>
      </c>
      <c r="I69" s="83" t="str">
        <f t="shared" si="13"/>
        <v/>
      </c>
    </row>
    <row r="70" spans="2:9">
      <c r="B70" s="87" t="str">
        <f t="shared" si="14"/>
        <v/>
      </c>
      <c r="C70" s="109" t="str">
        <f t="shared" si="8"/>
        <v/>
      </c>
      <c r="D70" s="110" t="str">
        <f t="shared" si="9"/>
        <v/>
      </c>
      <c r="E70" s="109" t="str">
        <f t="shared" si="10"/>
        <v/>
      </c>
      <c r="F70" s="109" t="str">
        <f>IF(B70&lt;=$B$5*$B$6,SUM($E$18:E70),"")</f>
        <v/>
      </c>
      <c r="G70" s="109" t="str">
        <f t="shared" si="11"/>
        <v/>
      </c>
      <c r="H70" s="83" t="str">
        <f t="shared" si="12"/>
        <v/>
      </c>
      <c r="I70" s="83" t="str">
        <f t="shared" si="13"/>
        <v/>
      </c>
    </row>
    <row r="71" spans="2:9">
      <c r="B71" s="87" t="str">
        <f t="shared" si="14"/>
        <v/>
      </c>
      <c r="C71" s="109" t="str">
        <f t="shared" si="8"/>
        <v/>
      </c>
      <c r="D71" s="110" t="str">
        <f t="shared" si="9"/>
        <v/>
      </c>
      <c r="E71" s="109" t="str">
        <f t="shared" si="10"/>
        <v/>
      </c>
      <c r="F71" s="109" t="str">
        <f>IF(B71&lt;=$B$5*$B$6,SUM($E$18:E71),"")</f>
        <v/>
      </c>
      <c r="G71" s="109" t="str">
        <f t="shared" si="11"/>
        <v/>
      </c>
      <c r="H71" s="83" t="str">
        <f t="shared" si="12"/>
        <v/>
      </c>
      <c r="I71" s="83" t="str">
        <f t="shared" si="13"/>
        <v/>
      </c>
    </row>
    <row r="72" spans="2:9">
      <c r="B72" s="87" t="str">
        <f t="shared" si="14"/>
        <v/>
      </c>
      <c r="C72" s="109" t="str">
        <f t="shared" si="8"/>
        <v/>
      </c>
      <c r="D72" s="110" t="str">
        <f t="shared" si="9"/>
        <v/>
      </c>
      <c r="E72" s="109" t="str">
        <f t="shared" si="10"/>
        <v/>
      </c>
      <c r="F72" s="109" t="str">
        <f>IF(B72&lt;=$B$5*$B$6,SUM($E$18:E72),"")</f>
        <v/>
      </c>
      <c r="G72" s="109" t="str">
        <f t="shared" si="11"/>
        <v/>
      </c>
      <c r="H72" s="83" t="str">
        <f t="shared" si="12"/>
        <v/>
      </c>
      <c r="I72" s="83" t="str">
        <f t="shared" si="13"/>
        <v/>
      </c>
    </row>
    <row r="73" spans="2:9">
      <c r="B73" s="87" t="str">
        <f t="shared" si="14"/>
        <v/>
      </c>
      <c r="C73" s="109" t="str">
        <f t="shared" si="8"/>
        <v/>
      </c>
      <c r="D73" s="110" t="str">
        <f t="shared" si="9"/>
        <v/>
      </c>
      <c r="E73" s="109" t="str">
        <f t="shared" si="10"/>
        <v/>
      </c>
      <c r="F73" s="109" t="str">
        <f>IF(B73&lt;=$B$5*$B$6,SUM($E$18:E73),"")</f>
        <v/>
      </c>
      <c r="G73" s="109" t="str">
        <f t="shared" si="11"/>
        <v/>
      </c>
      <c r="H73" s="83" t="str">
        <f t="shared" si="12"/>
        <v/>
      </c>
      <c r="I73" s="83" t="str">
        <f t="shared" si="13"/>
        <v/>
      </c>
    </row>
    <row r="74" spans="2:9">
      <c r="B74" s="87" t="str">
        <f t="shared" si="14"/>
        <v/>
      </c>
      <c r="C74" s="109" t="str">
        <f t="shared" ref="C74:C105" si="15">IF(B74&lt;=$B$5*$B$6,-PMT($B$4/$B$6,$B$5*$B$6,$B$3,,$C$12),"")</f>
        <v/>
      </c>
      <c r="D74" s="110" t="str">
        <f t="shared" ref="D74:D105" si="16">IF(B74&lt;=$B$5*$B$6,-IPMT($B$4/$B$6,B74,$B$5*$B$6,$B$3,,$C$12),"")</f>
        <v/>
      </c>
      <c r="E74" s="109" t="str">
        <f t="shared" ref="E74:E105" si="17">IF(B74&lt;=$B$5*$B$6,-PPMT($B$4/$B$6,B74,$B$5*$B$6,$B$3,,$C$12),"")</f>
        <v/>
      </c>
      <c r="F74" s="109" t="str">
        <f>IF(B74&lt;=$B$5*$B$6,SUM($E$18:E74),"")</f>
        <v/>
      </c>
      <c r="G74" s="109" t="str">
        <f t="shared" ref="G74:G105" si="18">IF(B74&lt;=$B$5*$B$6,$B$3-F74,"")</f>
        <v/>
      </c>
      <c r="H74" s="83" t="str">
        <f t="shared" si="12"/>
        <v/>
      </c>
      <c r="I74" s="83" t="str">
        <f t="shared" si="13"/>
        <v/>
      </c>
    </row>
    <row r="75" spans="2:9">
      <c r="B75" s="87" t="str">
        <f t="shared" si="14"/>
        <v/>
      </c>
      <c r="C75" s="109" t="str">
        <f t="shared" si="15"/>
        <v/>
      </c>
      <c r="D75" s="110" t="str">
        <f t="shared" si="16"/>
        <v/>
      </c>
      <c r="E75" s="109" t="str">
        <f t="shared" si="17"/>
        <v/>
      </c>
      <c r="F75" s="109" t="str">
        <f>IF(B75&lt;=$B$5*$B$6,SUM($E$18:E75),"")</f>
        <v/>
      </c>
      <c r="G75" s="109" t="str">
        <f t="shared" si="18"/>
        <v/>
      </c>
      <c r="H75" s="83" t="str">
        <f t="shared" si="12"/>
        <v/>
      </c>
      <c r="I75" s="83" t="str">
        <f t="shared" si="13"/>
        <v/>
      </c>
    </row>
    <row r="76" spans="2:9">
      <c r="B76" s="87" t="str">
        <f t="shared" si="14"/>
        <v/>
      </c>
      <c r="C76" s="109" t="str">
        <f t="shared" si="15"/>
        <v/>
      </c>
      <c r="D76" s="110" t="str">
        <f t="shared" si="16"/>
        <v/>
      </c>
      <c r="E76" s="109" t="str">
        <f t="shared" si="17"/>
        <v/>
      </c>
      <c r="F76" s="109" t="str">
        <f>IF(B76&lt;=$B$5*$B$6,SUM($E$18:E76),"")</f>
        <v/>
      </c>
      <c r="G76" s="109" t="str">
        <f t="shared" si="18"/>
        <v/>
      </c>
      <c r="H76" s="83" t="str">
        <f t="shared" si="12"/>
        <v/>
      </c>
      <c r="I76" s="83" t="str">
        <f t="shared" si="13"/>
        <v/>
      </c>
    </row>
    <row r="77" spans="2:9">
      <c r="B77" s="87" t="str">
        <f t="shared" si="14"/>
        <v/>
      </c>
      <c r="C77" s="109" t="str">
        <f t="shared" si="15"/>
        <v/>
      </c>
      <c r="D77" s="110" t="str">
        <f t="shared" si="16"/>
        <v/>
      </c>
      <c r="E77" s="109" t="str">
        <f t="shared" si="17"/>
        <v/>
      </c>
      <c r="F77" s="109" t="str">
        <f>IF(B77&lt;=$B$5*$B$6,SUM($E$18:E77),"")</f>
        <v/>
      </c>
      <c r="G77" s="109" t="str">
        <f t="shared" si="18"/>
        <v/>
      </c>
      <c r="H77" s="83" t="str">
        <f t="shared" si="12"/>
        <v/>
      </c>
      <c r="I77" s="83" t="str">
        <f t="shared" si="13"/>
        <v/>
      </c>
    </row>
    <row r="78" spans="2:9">
      <c r="B78" s="87" t="str">
        <f t="shared" si="14"/>
        <v/>
      </c>
      <c r="C78" s="109" t="str">
        <f t="shared" si="15"/>
        <v/>
      </c>
      <c r="D78" s="110" t="str">
        <f t="shared" si="16"/>
        <v/>
      </c>
      <c r="E78" s="109" t="str">
        <f t="shared" si="17"/>
        <v/>
      </c>
      <c r="F78" s="109" t="str">
        <f>IF(B78&lt;=$B$5*$B$6,SUM($E$18:E78),"")</f>
        <v/>
      </c>
      <c r="G78" s="109" t="str">
        <f t="shared" si="18"/>
        <v/>
      </c>
      <c r="H78" s="83" t="str">
        <f t="shared" si="12"/>
        <v/>
      </c>
      <c r="I78" s="83" t="str">
        <f t="shared" si="13"/>
        <v/>
      </c>
    </row>
    <row r="79" spans="2:9">
      <c r="B79" s="87" t="str">
        <f t="shared" si="14"/>
        <v/>
      </c>
      <c r="C79" s="109" t="str">
        <f t="shared" si="15"/>
        <v/>
      </c>
      <c r="D79" s="110" t="str">
        <f t="shared" si="16"/>
        <v/>
      </c>
      <c r="E79" s="109" t="str">
        <f t="shared" si="17"/>
        <v/>
      </c>
      <c r="F79" s="109" t="str">
        <f>IF(B79&lt;=$B$5*$B$6,SUM($E$18:E79),"")</f>
        <v/>
      </c>
      <c r="G79" s="109" t="str">
        <f t="shared" si="18"/>
        <v/>
      </c>
      <c r="H79" s="83" t="str">
        <f t="shared" si="12"/>
        <v/>
      </c>
      <c r="I79" s="83" t="str">
        <f t="shared" si="13"/>
        <v/>
      </c>
    </row>
    <row r="80" spans="2:9">
      <c r="B80" s="87" t="str">
        <f t="shared" si="14"/>
        <v/>
      </c>
      <c r="C80" s="109" t="str">
        <f t="shared" si="15"/>
        <v/>
      </c>
      <c r="D80" s="110" t="str">
        <f t="shared" si="16"/>
        <v/>
      </c>
      <c r="E80" s="109" t="str">
        <f t="shared" si="17"/>
        <v/>
      </c>
      <c r="F80" s="109" t="str">
        <f>IF(B80&lt;=$B$5*$B$6,SUM($E$18:E80),"")</f>
        <v/>
      </c>
      <c r="G80" s="109" t="str">
        <f t="shared" si="18"/>
        <v/>
      </c>
      <c r="H80" s="83" t="str">
        <f t="shared" si="12"/>
        <v/>
      </c>
      <c r="I80" s="83" t="str">
        <f t="shared" si="13"/>
        <v/>
      </c>
    </row>
    <row r="81" spans="2:9">
      <c r="B81" s="87" t="str">
        <f t="shared" si="14"/>
        <v/>
      </c>
      <c r="C81" s="109" t="str">
        <f t="shared" si="15"/>
        <v/>
      </c>
      <c r="D81" s="110" t="str">
        <f t="shared" si="16"/>
        <v/>
      </c>
      <c r="E81" s="109" t="str">
        <f t="shared" si="17"/>
        <v/>
      </c>
      <c r="F81" s="109" t="str">
        <f>IF(B81&lt;=$B$5*$B$6,SUM($E$18:E81),"")</f>
        <v/>
      </c>
      <c r="G81" s="109" t="str">
        <f t="shared" si="18"/>
        <v/>
      </c>
      <c r="H81" s="83" t="str">
        <f t="shared" si="12"/>
        <v/>
      </c>
      <c r="I81" s="83" t="str">
        <f t="shared" si="13"/>
        <v/>
      </c>
    </row>
    <row r="82" spans="2:9">
      <c r="B82" s="87" t="str">
        <f t="shared" ref="B82:B113" si="19">IF(B81&lt;$B$5*$B$6,B81+1,"")</f>
        <v/>
      </c>
      <c r="C82" s="109" t="str">
        <f t="shared" si="15"/>
        <v/>
      </c>
      <c r="D82" s="110" t="str">
        <f t="shared" si="16"/>
        <v/>
      </c>
      <c r="E82" s="109" t="str">
        <f t="shared" si="17"/>
        <v/>
      </c>
      <c r="F82" s="109" t="str">
        <f>IF(B82&lt;=$B$5*$B$6,SUM($E$18:E82),"")</f>
        <v/>
      </c>
      <c r="G82" s="109" t="str">
        <f t="shared" si="18"/>
        <v/>
      </c>
      <c r="H82" s="83" t="str">
        <f t="shared" si="12"/>
        <v/>
      </c>
      <c r="I82" s="83" t="str">
        <f t="shared" si="13"/>
        <v/>
      </c>
    </row>
    <row r="83" spans="2:9">
      <c r="B83" s="87" t="str">
        <f t="shared" si="19"/>
        <v/>
      </c>
      <c r="C83" s="109" t="str">
        <f t="shared" si="15"/>
        <v/>
      </c>
      <c r="D83" s="110" t="str">
        <f t="shared" si="16"/>
        <v/>
      </c>
      <c r="E83" s="109" t="str">
        <f t="shared" si="17"/>
        <v/>
      </c>
      <c r="F83" s="109" t="str">
        <f>IF(B83&lt;=$B$5*$B$6,SUM($E$18:E83),"")</f>
        <v/>
      </c>
      <c r="G83" s="109" t="str">
        <f t="shared" si="18"/>
        <v/>
      </c>
      <c r="H83" s="83" t="str">
        <f t="shared" si="12"/>
        <v/>
      </c>
      <c r="I83" s="83" t="str">
        <f t="shared" si="13"/>
        <v/>
      </c>
    </row>
    <row r="84" spans="2:9">
      <c r="B84" s="87" t="str">
        <f t="shared" si="19"/>
        <v/>
      </c>
      <c r="C84" s="109" t="str">
        <f t="shared" si="15"/>
        <v/>
      </c>
      <c r="D84" s="110" t="str">
        <f t="shared" si="16"/>
        <v/>
      </c>
      <c r="E84" s="109" t="str">
        <f t="shared" si="17"/>
        <v/>
      </c>
      <c r="F84" s="109" t="str">
        <f>IF(B84&lt;=$B$5*$B$6,SUM($E$18:E84),"")</f>
        <v/>
      </c>
      <c r="G84" s="109" t="str">
        <f t="shared" si="18"/>
        <v/>
      </c>
      <c r="H84" s="83" t="str">
        <f t="shared" si="12"/>
        <v/>
      </c>
      <c r="I84" s="83" t="str">
        <f t="shared" si="13"/>
        <v/>
      </c>
    </row>
    <row r="85" spans="2:9">
      <c r="B85" s="87" t="str">
        <f t="shared" si="19"/>
        <v/>
      </c>
      <c r="C85" s="109" t="str">
        <f t="shared" si="15"/>
        <v/>
      </c>
      <c r="D85" s="110" t="str">
        <f t="shared" si="16"/>
        <v/>
      </c>
      <c r="E85" s="109" t="str">
        <f t="shared" si="17"/>
        <v/>
      </c>
      <c r="F85" s="109" t="str">
        <f>IF(B85&lt;=$B$5*$B$6,SUM($E$18:E85),"")</f>
        <v/>
      </c>
      <c r="G85" s="109" t="str">
        <f t="shared" si="18"/>
        <v/>
      </c>
      <c r="H85" s="83" t="str">
        <f t="shared" si="12"/>
        <v/>
      </c>
      <c r="I85" s="83" t="str">
        <f t="shared" si="13"/>
        <v/>
      </c>
    </row>
    <row r="86" spans="2:9">
      <c r="B86" s="87" t="str">
        <f t="shared" si="19"/>
        <v/>
      </c>
      <c r="C86" s="109" t="str">
        <f t="shared" si="15"/>
        <v/>
      </c>
      <c r="D86" s="110" t="str">
        <f t="shared" si="16"/>
        <v/>
      </c>
      <c r="E86" s="109" t="str">
        <f t="shared" si="17"/>
        <v/>
      </c>
      <c r="F86" s="109" t="str">
        <f>IF(B86&lt;=$B$5*$B$6,SUM($E$18:E86),"")</f>
        <v/>
      </c>
      <c r="G86" s="109" t="str">
        <f t="shared" si="18"/>
        <v/>
      </c>
      <c r="H86" s="83" t="str">
        <f t="shared" si="12"/>
        <v/>
      </c>
      <c r="I86" s="83" t="str">
        <f t="shared" si="13"/>
        <v/>
      </c>
    </row>
    <row r="87" spans="2:9">
      <c r="B87" s="87" t="str">
        <f t="shared" si="19"/>
        <v/>
      </c>
      <c r="C87" s="109" t="str">
        <f t="shared" si="15"/>
        <v/>
      </c>
      <c r="D87" s="110" t="str">
        <f t="shared" si="16"/>
        <v/>
      </c>
      <c r="E87" s="109" t="str">
        <f t="shared" si="17"/>
        <v/>
      </c>
      <c r="F87" s="109" t="str">
        <f>IF(B87&lt;=$B$5*$B$6,SUM($E$18:E87),"")</f>
        <v/>
      </c>
      <c r="G87" s="109" t="str">
        <f t="shared" si="18"/>
        <v/>
      </c>
      <c r="H87" s="83" t="str">
        <f t="shared" si="12"/>
        <v/>
      </c>
      <c r="I87" s="83" t="str">
        <f t="shared" si="13"/>
        <v/>
      </c>
    </row>
    <row r="88" spans="2:9">
      <c r="B88" s="87" t="str">
        <f t="shared" si="19"/>
        <v/>
      </c>
      <c r="C88" s="109" t="str">
        <f t="shared" si="15"/>
        <v/>
      </c>
      <c r="D88" s="110" t="str">
        <f t="shared" si="16"/>
        <v/>
      </c>
      <c r="E88" s="109" t="str">
        <f t="shared" si="17"/>
        <v/>
      </c>
      <c r="F88" s="109" t="str">
        <f>IF(B88&lt;=$B$5*$B$6,SUM($E$18:E88),"")</f>
        <v/>
      </c>
      <c r="G88" s="109" t="str">
        <f t="shared" si="18"/>
        <v/>
      </c>
      <c r="H88" s="83" t="str">
        <f t="shared" si="12"/>
        <v/>
      </c>
      <c r="I88" s="83" t="str">
        <f t="shared" si="13"/>
        <v/>
      </c>
    </row>
    <row r="89" spans="2:9">
      <c r="B89" s="87" t="str">
        <f t="shared" si="19"/>
        <v/>
      </c>
      <c r="C89" s="109" t="str">
        <f t="shared" si="15"/>
        <v/>
      </c>
      <c r="D89" s="110" t="str">
        <f t="shared" si="16"/>
        <v/>
      </c>
      <c r="E89" s="109" t="str">
        <f t="shared" si="17"/>
        <v/>
      </c>
      <c r="F89" s="109" t="str">
        <f>IF(B89&lt;=$B$5*$B$6,SUM($E$18:E89),"")</f>
        <v/>
      </c>
      <c r="G89" s="109" t="str">
        <f t="shared" si="18"/>
        <v/>
      </c>
      <c r="H89" s="83" t="str">
        <f t="shared" si="12"/>
        <v/>
      </c>
      <c r="I89" s="83" t="str">
        <f t="shared" si="13"/>
        <v/>
      </c>
    </row>
    <row r="90" spans="2:9">
      <c r="B90" s="87" t="str">
        <f t="shared" si="19"/>
        <v/>
      </c>
      <c r="C90" s="109" t="str">
        <f t="shared" si="15"/>
        <v/>
      </c>
      <c r="D90" s="110" t="str">
        <f t="shared" si="16"/>
        <v/>
      </c>
      <c r="E90" s="109" t="str">
        <f t="shared" si="17"/>
        <v/>
      </c>
      <c r="F90" s="109" t="str">
        <f>IF(B90&lt;=$B$5*$B$6,SUM($E$18:E90),"")</f>
        <v/>
      </c>
      <c r="G90" s="109" t="str">
        <f t="shared" si="18"/>
        <v/>
      </c>
      <c r="H90" s="83" t="str">
        <f t="shared" si="12"/>
        <v/>
      </c>
      <c r="I90" s="83" t="str">
        <f t="shared" si="13"/>
        <v/>
      </c>
    </row>
    <row r="91" spans="2:9">
      <c r="B91" s="87" t="str">
        <f t="shared" si="19"/>
        <v/>
      </c>
      <c r="C91" s="109" t="str">
        <f t="shared" si="15"/>
        <v/>
      </c>
      <c r="D91" s="110" t="str">
        <f t="shared" si="16"/>
        <v/>
      </c>
      <c r="E91" s="109" t="str">
        <f t="shared" si="17"/>
        <v/>
      </c>
      <c r="F91" s="109" t="str">
        <f>IF(B91&lt;=$B$5*$B$6,SUM($E$18:E91),"")</f>
        <v/>
      </c>
      <c r="G91" s="109" t="str">
        <f t="shared" si="18"/>
        <v/>
      </c>
      <c r="H91" s="83" t="str">
        <f t="shared" si="12"/>
        <v/>
      </c>
      <c r="I91" s="83" t="str">
        <f t="shared" si="13"/>
        <v/>
      </c>
    </row>
    <row r="92" spans="2:9">
      <c r="B92" s="87" t="str">
        <f t="shared" si="19"/>
        <v/>
      </c>
      <c r="C92" s="109" t="str">
        <f t="shared" si="15"/>
        <v/>
      </c>
      <c r="D92" s="110" t="str">
        <f t="shared" si="16"/>
        <v/>
      </c>
      <c r="E92" s="109" t="str">
        <f t="shared" si="17"/>
        <v/>
      </c>
      <c r="F92" s="109" t="str">
        <f>IF(B92&lt;=$B$5*$B$6,SUM($E$18:E92),"")</f>
        <v/>
      </c>
      <c r="G92" s="109" t="str">
        <f t="shared" si="18"/>
        <v/>
      </c>
      <c r="H92" s="83" t="str">
        <f t="shared" si="12"/>
        <v/>
      </c>
      <c r="I92" s="83" t="str">
        <f t="shared" si="13"/>
        <v/>
      </c>
    </row>
    <row r="93" spans="2:9">
      <c r="B93" s="87" t="str">
        <f t="shared" si="19"/>
        <v/>
      </c>
      <c r="C93" s="109" t="str">
        <f t="shared" si="15"/>
        <v/>
      </c>
      <c r="D93" s="110" t="str">
        <f t="shared" si="16"/>
        <v/>
      </c>
      <c r="E93" s="109" t="str">
        <f t="shared" si="17"/>
        <v/>
      </c>
      <c r="F93" s="109" t="str">
        <f>IF(B93&lt;=$B$5*$B$6,SUM($E$18:E93),"")</f>
        <v/>
      </c>
      <c r="G93" s="109" t="str">
        <f t="shared" si="18"/>
        <v/>
      </c>
      <c r="H93" s="83" t="str">
        <f t="shared" si="12"/>
        <v/>
      </c>
      <c r="I93" s="83" t="str">
        <f t="shared" si="13"/>
        <v/>
      </c>
    </row>
    <row r="94" spans="2:9">
      <c r="B94" s="87" t="str">
        <f t="shared" si="19"/>
        <v/>
      </c>
      <c r="C94" s="109" t="str">
        <f t="shared" si="15"/>
        <v/>
      </c>
      <c r="D94" s="110" t="str">
        <f t="shared" si="16"/>
        <v/>
      </c>
      <c r="E94" s="109" t="str">
        <f t="shared" si="17"/>
        <v/>
      </c>
      <c r="F94" s="109" t="str">
        <f>IF(B94&lt;=$B$5*$B$6,SUM($E$18:E94),"")</f>
        <v/>
      </c>
      <c r="G94" s="109" t="str">
        <f t="shared" si="18"/>
        <v/>
      </c>
      <c r="H94" s="83" t="str">
        <f t="shared" si="12"/>
        <v/>
      </c>
      <c r="I94" s="83" t="str">
        <f t="shared" si="13"/>
        <v/>
      </c>
    </row>
    <row r="95" spans="2:9">
      <c r="B95" s="87" t="str">
        <f t="shared" si="19"/>
        <v/>
      </c>
      <c r="C95" s="109" t="str">
        <f t="shared" si="15"/>
        <v/>
      </c>
      <c r="D95" s="110" t="str">
        <f t="shared" si="16"/>
        <v/>
      </c>
      <c r="E95" s="109" t="str">
        <f t="shared" si="17"/>
        <v/>
      </c>
      <c r="F95" s="109" t="str">
        <f>IF(B95&lt;=$B$5*$B$6,SUM($E$18:E95),"")</f>
        <v/>
      </c>
      <c r="G95" s="109" t="str">
        <f t="shared" si="18"/>
        <v/>
      </c>
      <c r="H95" s="83" t="str">
        <f t="shared" si="12"/>
        <v/>
      </c>
      <c r="I95" s="83" t="str">
        <f t="shared" si="13"/>
        <v/>
      </c>
    </row>
    <row r="96" spans="2:9">
      <c r="B96" s="87" t="str">
        <f t="shared" si="19"/>
        <v/>
      </c>
      <c r="C96" s="109" t="str">
        <f t="shared" si="15"/>
        <v/>
      </c>
      <c r="D96" s="110" t="str">
        <f t="shared" si="16"/>
        <v/>
      </c>
      <c r="E96" s="109" t="str">
        <f t="shared" si="17"/>
        <v/>
      </c>
      <c r="F96" s="109" t="str">
        <f>IF(B96&lt;=$B$5*$B$6,SUM($E$18:E96),"")</f>
        <v/>
      </c>
      <c r="G96" s="109" t="str">
        <f t="shared" si="18"/>
        <v/>
      </c>
      <c r="H96" s="83" t="str">
        <f t="shared" si="12"/>
        <v/>
      </c>
      <c r="I96" s="83" t="str">
        <f t="shared" si="13"/>
        <v/>
      </c>
    </row>
    <row r="97" spans="2:9">
      <c r="B97" s="87" t="str">
        <f t="shared" si="19"/>
        <v/>
      </c>
      <c r="C97" s="109" t="str">
        <f t="shared" si="15"/>
        <v/>
      </c>
      <c r="D97" s="110" t="str">
        <f t="shared" si="16"/>
        <v/>
      </c>
      <c r="E97" s="109" t="str">
        <f t="shared" si="17"/>
        <v/>
      </c>
      <c r="F97" s="109" t="str">
        <f>IF(B97&lt;=$B$5*$B$6,SUM($E$18:E97),"")</f>
        <v/>
      </c>
      <c r="G97" s="109" t="str">
        <f t="shared" si="18"/>
        <v/>
      </c>
      <c r="H97" s="83" t="str">
        <f t="shared" si="12"/>
        <v/>
      </c>
      <c r="I97" s="83" t="str">
        <f t="shared" si="13"/>
        <v/>
      </c>
    </row>
    <row r="98" spans="2:9">
      <c r="B98" s="87" t="str">
        <f t="shared" si="19"/>
        <v/>
      </c>
      <c r="C98" s="109" t="str">
        <f t="shared" si="15"/>
        <v/>
      </c>
      <c r="D98" s="110" t="str">
        <f t="shared" si="16"/>
        <v/>
      </c>
      <c r="E98" s="109" t="str">
        <f t="shared" si="17"/>
        <v/>
      </c>
      <c r="F98" s="109" t="str">
        <f>IF(B98&lt;=$B$5*$B$6,SUM($E$18:E98),"")</f>
        <v/>
      </c>
      <c r="G98" s="109" t="str">
        <f t="shared" si="18"/>
        <v/>
      </c>
      <c r="H98" s="83" t="str">
        <f t="shared" si="12"/>
        <v/>
      </c>
      <c r="I98" s="83" t="str">
        <f t="shared" si="13"/>
        <v/>
      </c>
    </row>
    <row r="99" spans="2:9">
      <c r="B99" s="87" t="str">
        <f t="shared" si="19"/>
        <v/>
      </c>
      <c r="C99" s="109" t="str">
        <f t="shared" si="15"/>
        <v/>
      </c>
      <c r="D99" s="110" t="str">
        <f t="shared" si="16"/>
        <v/>
      </c>
      <c r="E99" s="109" t="str">
        <f t="shared" si="17"/>
        <v/>
      </c>
      <c r="F99" s="109" t="str">
        <f>IF(B99&lt;=$B$5*$B$6,SUM($E$18:E99),"")</f>
        <v/>
      </c>
      <c r="G99" s="109" t="str">
        <f t="shared" si="18"/>
        <v/>
      </c>
      <c r="H99" s="83" t="str">
        <f t="shared" si="12"/>
        <v/>
      </c>
      <c r="I99" s="83" t="str">
        <f t="shared" si="13"/>
        <v/>
      </c>
    </row>
    <row r="100" spans="2:9">
      <c r="B100" s="87" t="str">
        <f t="shared" si="19"/>
        <v/>
      </c>
      <c r="C100" s="109" t="str">
        <f t="shared" si="15"/>
        <v/>
      </c>
      <c r="D100" s="110" t="str">
        <f t="shared" si="16"/>
        <v/>
      </c>
      <c r="E100" s="109" t="str">
        <f t="shared" si="17"/>
        <v/>
      </c>
      <c r="F100" s="109" t="str">
        <f>IF(B100&lt;=$B$5*$B$6,SUM($E$18:E100),"")</f>
        <v/>
      </c>
      <c r="G100" s="109" t="str">
        <f t="shared" si="18"/>
        <v/>
      </c>
      <c r="H100" s="83" t="str">
        <f t="shared" si="12"/>
        <v/>
      </c>
      <c r="I100" s="83" t="str">
        <f t="shared" si="13"/>
        <v/>
      </c>
    </row>
    <row r="101" spans="2:9">
      <c r="B101" s="87" t="str">
        <f t="shared" si="19"/>
        <v/>
      </c>
      <c r="C101" s="109" t="str">
        <f t="shared" si="15"/>
        <v/>
      </c>
      <c r="D101" s="110" t="str">
        <f t="shared" si="16"/>
        <v/>
      </c>
      <c r="E101" s="109" t="str">
        <f t="shared" si="17"/>
        <v/>
      </c>
      <c r="F101" s="109" t="str">
        <f>IF(B101&lt;=$B$5*$B$6,SUM($E$18:E101),"")</f>
        <v/>
      </c>
      <c r="G101" s="109" t="str">
        <f t="shared" si="18"/>
        <v/>
      </c>
      <c r="H101" s="83" t="str">
        <f t="shared" si="12"/>
        <v/>
      </c>
      <c r="I101" s="83" t="str">
        <f t="shared" si="13"/>
        <v/>
      </c>
    </row>
    <row r="102" spans="2:9">
      <c r="B102" s="87" t="str">
        <f t="shared" si="19"/>
        <v/>
      </c>
      <c r="C102" s="109" t="str">
        <f t="shared" si="15"/>
        <v/>
      </c>
      <c r="D102" s="110" t="str">
        <f t="shared" si="16"/>
        <v/>
      </c>
      <c r="E102" s="109" t="str">
        <f t="shared" si="17"/>
        <v/>
      </c>
      <c r="F102" s="109" t="str">
        <f>IF(B102&lt;=$B$5*$B$6,SUM($E$18:E102),"")</f>
        <v/>
      </c>
      <c r="G102" s="109" t="str">
        <f t="shared" si="18"/>
        <v/>
      </c>
      <c r="H102" s="83" t="str">
        <f t="shared" si="12"/>
        <v/>
      </c>
      <c r="I102" s="83" t="str">
        <f t="shared" si="13"/>
        <v/>
      </c>
    </row>
    <row r="103" spans="2:9">
      <c r="B103" s="87" t="str">
        <f t="shared" si="19"/>
        <v/>
      </c>
      <c r="C103" s="109" t="str">
        <f t="shared" si="15"/>
        <v/>
      </c>
      <c r="D103" s="110" t="str">
        <f t="shared" si="16"/>
        <v/>
      </c>
      <c r="E103" s="109" t="str">
        <f t="shared" si="17"/>
        <v/>
      </c>
      <c r="F103" s="109" t="str">
        <f>IF(B103&lt;=$B$5*$B$6,SUM($E$18:E103),"")</f>
        <v/>
      </c>
      <c r="G103" s="109" t="str">
        <f t="shared" si="18"/>
        <v/>
      </c>
      <c r="H103" s="83" t="str">
        <f t="shared" si="12"/>
        <v/>
      </c>
      <c r="I103" s="83" t="str">
        <f t="shared" si="13"/>
        <v/>
      </c>
    </row>
    <row r="104" spans="2:9">
      <c r="B104" s="87" t="str">
        <f t="shared" si="19"/>
        <v/>
      </c>
      <c r="C104" s="109" t="str">
        <f t="shared" si="15"/>
        <v/>
      </c>
      <c r="D104" s="110" t="str">
        <f t="shared" si="16"/>
        <v/>
      </c>
      <c r="E104" s="109" t="str">
        <f t="shared" si="17"/>
        <v/>
      </c>
      <c r="F104" s="109" t="str">
        <f>IF(B104&lt;=$B$5*$B$6,SUM($E$18:E104),"")</f>
        <v/>
      </c>
      <c r="G104" s="109" t="str">
        <f t="shared" si="18"/>
        <v/>
      </c>
      <c r="H104" s="83" t="str">
        <f t="shared" si="12"/>
        <v/>
      </c>
      <c r="I104" s="83" t="str">
        <f t="shared" si="13"/>
        <v/>
      </c>
    </row>
    <row r="105" spans="2:9">
      <c r="B105" s="87" t="str">
        <f t="shared" si="19"/>
        <v/>
      </c>
      <c r="C105" s="109" t="str">
        <f t="shared" si="15"/>
        <v/>
      </c>
      <c r="D105" s="110" t="str">
        <f t="shared" si="16"/>
        <v/>
      </c>
      <c r="E105" s="109" t="str">
        <f t="shared" si="17"/>
        <v/>
      </c>
      <c r="F105" s="109" t="str">
        <f>IF(B105&lt;=$B$5*$B$6,SUM($E$18:E105),"")</f>
        <v/>
      </c>
      <c r="G105" s="109" t="str">
        <f t="shared" si="18"/>
        <v/>
      </c>
      <c r="H105" s="83" t="str">
        <f t="shared" si="12"/>
        <v/>
      </c>
      <c r="I105" s="83" t="str">
        <f t="shared" si="13"/>
        <v/>
      </c>
    </row>
    <row r="106" spans="2:9">
      <c r="B106" s="87" t="str">
        <f t="shared" si="19"/>
        <v/>
      </c>
      <c r="C106" s="109" t="str">
        <f t="shared" ref="C106:C137" si="20">IF(B106&lt;=$B$5*$B$6,-PMT($B$4/$B$6,$B$5*$B$6,$B$3,,$C$12),"")</f>
        <v/>
      </c>
      <c r="D106" s="110" t="str">
        <f t="shared" ref="D106:D137" si="21">IF(B106&lt;=$B$5*$B$6,-IPMT($B$4/$B$6,B106,$B$5*$B$6,$B$3,,$C$12),"")</f>
        <v/>
      </c>
      <c r="E106" s="109" t="str">
        <f t="shared" ref="E106:E137" si="22">IF(B106&lt;=$B$5*$B$6,-PPMT($B$4/$B$6,B106,$B$5*$B$6,$B$3,,$C$12),"")</f>
        <v/>
      </c>
      <c r="F106" s="109" t="str">
        <f>IF(B106&lt;=$B$5*$B$6,SUM($E$18:E106),"")</f>
        <v/>
      </c>
      <c r="G106" s="109" t="str">
        <f t="shared" ref="G106:G137" si="23">IF(B106&lt;=$B$5*$B$6,$B$3-F106,"")</f>
        <v/>
      </c>
      <c r="H106" s="83" t="str">
        <f t="shared" ref="H106:H153" si="24">IF(G106="","",$C$11*G106)</f>
        <v/>
      </c>
      <c r="I106" s="83" t="str">
        <f t="shared" ref="I106:I153" si="25">IF(H106="","",G106+H106)</f>
        <v/>
      </c>
    </row>
    <row r="107" spans="2:9">
      <c r="B107" s="87" t="str">
        <f t="shared" si="19"/>
        <v/>
      </c>
      <c r="C107" s="109" t="str">
        <f t="shared" si="20"/>
        <v/>
      </c>
      <c r="D107" s="110" t="str">
        <f t="shared" si="21"/>
        <v/>
      </c>
      <c r="E107" s="109" t="str">
        <f t="shared" si="22"/>
        <v/>
      </c>
      <c r="F107" s="109" t="str">
        <f>IF(B107&lt;=$B$5*$B$6,SUM($E$18:E107),"")</f>
        <v/>
      </c>
      <c r="G107" s="109" t="str">
        <f t="shared" si="23"/>
        <v/>
      </c>
      <c r="H107" s="83" t="str">
        <f t="shared" si="24"/>
        <v/>
      </c>
      <c r="I107" s="83" t="str">
        <f t="shared" si="25"/>
        <v/>
      </c>
    </row>
    <row r="108" spans="2:9">
      <c r="B108" s="87" t="str">
        <f t="shared" si="19"/>
        <v/>
      </c>
      <c r="C108" s="109" t="str">
        <f t="shared" si="20"/>
        <v/>
      </c>
      <c r="D108" s="110" t="str">
        <f t="shared" si="21"/>
        <v/>
      </c>
      <c r="E108" s="109" t="str">
        <f t="shared" si="22"/>
        <v/>
      </c>
      <c r="F108" s="109" t="str">
        <f>IF(B108&lt;=$B$5*$B$6,SUM($E$18:E108),"")</f>
        <v/>
      </c>
      <c r="G108" s="109" t="str">
        <f t="shared" si="23"/>
        <v/>
      </c>
      <c r="H108" s="83" t="str">
        <f t="shared" si="24"/>
        <v/>
      </c>
      <c r="I108" s="83" t="str">
        <f t="shared" si="25"/>
        <v/>
      </c>
    </row>
    <row r="109" spans="2:9">
      <c r="B109" s="87" t="str">
        <f t="shared" si="19"/>
        <v/>
      </c>
      <c r="C109" s="109" t="str">
        <f t="shared" si="20"/>
        <v/>
      </c>
      <c r="D109" s="110" t="str">
        <f t="shared" si="21"/>
        <v/>
      </c>
      <c r="E109" s="109" t="str">
        <f t="shared" si="22"/>
        <v/>
      </c>
      <c r="F109" s="109" t="str">
        <f>IF(B109&lt;=$B$5*$B$6,SUM($E$18:E109),"")</f>
        <v/>
      </c>
      <c r="G109" s="109" t="str">
        <f t="shared" si="23"/>
        <v/>
      </c>
      <c r="H109" s="83" t="str">
        <f t="shared" si="24"/>
        <v/>
      </c>
      <c r="I109" s="83" t="str">
        <f t="shared" si="25"/>
        <v/>
      </c>
    </row>
    <row r="110" spans="2:9">
      <c r="B110" s="87" t="str">
        <f t="shared" si="19"/>
        <v/>
      </c>
      <c r="C110" s="109" t="str">
        <f t="shared" si="20"/>
        <v/>
      </c>
      <c r="D110" s="110" t="str">
        <f t="shared" si="21"/>
        <v/>
      </c>
      <c r="E110" s="109" t="str">
        <f t="shared" si="22"/>
        <v/>
      </c>
      <c r="F110" s="109" t="str">
        <f>IF(B110&lt;=$B$5*$B$6,SUM($E$18:E110),"")</f>
        <v/>
      </c>
      <c r="G110" s="109" t="str">
        <f t="shared" si="23"/>
        <v/>
      </c>
      <c r="H110" s="83" t="str">
        <f t="shared" si="24"/>
        <v/>
      </c>
      <c r="I110" s="83" t="str">
        <f t="shared" si="25"/>
        <v/>
      </c>
    </row>
    <row r="111" spans="2:9">
      <c r="B111" s="87" t="str">
        <f t="shared" si="19"/>
        <v/>
      </c>
      <c r="C111" s="109" t="str">
        <f t="shared" si="20"/>
        <v/>
      </c>
      <c r="D111" s="110" t="str">
        <f t="shared" si="21"/>
        <v/>
      </c>
      <c r="E111" s="109" t="str">
        <f t="shared" si="22"/>
        <v/>
      </c>
      <c r="F111" s="109" t="str">
        <f>IF(B111&lt;=$B$5*$B$6,SUM($E$18:E111),"")</f>
        <v/>
      </c>
      <c r="G111" s="109" t="str">
        <f t="shared" si="23"/>
        <v/>
      </c>
      <c r="H111" s="83" t="str">
        <f t="shared" si="24"/>
        <v/>
      </c>
      <c r="I111" s="83" t="str">
        <f t="shared" si="25"/>
        <v/>
      </c>
    </row>
    <row r="112" spans="2:9">
      <c r="B112" s="87" t="str">
        <f t="shared" si="19"/>
        <v/>
      </c>
      <c r="C112" s="109" t="str">
        <f t="shared" si="20"/>
        <v/>
      </c>
      <c r="D112" s="110" t="str">
        <f t="shared" si="21"/>
        <v/>
      </c>
      <c r="E112" s="109" t="str">
        <f t="shared" si="22"/>
        <v/>
      </c>
      <c r="F112" s="109" t="str">
        <f>IF(B112&lt;=$B$5*$B$6,SUM($E$18:E112),"")</f>
        <v/>
      </c>
      <c r="G112" s="109" t="str">
        <f t="shared" si="23"/>
        <v/>
      </c>
      <c r="H112" s="83" t="str">
        <f t="shared" si="24"/>
        <v/>
      </c>
      <c r="I112" s="83" t="str">
        <f t="shared" si="25"/>
        <v/>
      </c>
    </row>
    <row r="113" spans="2:9">
      <c r="B113" s="87" t="str">
        <f t="shared" si="19"/>
        <v/>
      </c>
      <c r="C113" s="109" t="str">
        <f t="shared" si="20"/>
        <v/>
      </c>
      <c r="D113" s="110" t="str">
        <f t="shared" si="21"/>
        <v/>
      </c>
      <c r="E113" s="109" t="str">
        <f t="shared" si="22"/>
        <v/>
      </c>
      <c r="F113" s="109" t="str">
        <f>IF(B113&lt;=$B$5*$B$6,SUM($E$18:E113),"")</f>
        <v/>
      </c>
      <c r="G113" s="109" t="str">
        <f t="shared" si="23"/>
        <v/>
      </c>
      <c r="H113" s="83" t="str">
        <f t="shared" si="24"/>
        <v/>
      </c>
      <c r="I113" s="83" t="str">
        <f t="shared" si="25"/>
        <v/>
      </c>
    </row>
    <row r="114" spans="2:9">
      <c r="B114" s="87" t="str">
        <f t="shared" ref="B114:B145" si="26">IF(B113&lt;$B$5*$B$6,B113+1,"")</f>
        <v/>
      </c>
      <c r="C114" s="109" t="str">
        <f t="shared" si="20"/>
        <v/>
      </c>
      <c r="D114" s="110" t="str">
        <f t="shared" si="21"/>
        <v/>
      </c>
      <c r="E114" s="109" t="str">
        <f t="shared" si="22"/>
        <v/>
      </c>
      <c r="F114" s="109" t="str">
        <f>IF(B114&lt;=$B$5*$B$6,SUM($E$18:E114),"")</f>
        <v/>
      </c>
      <c r="G114" s="109" t="str">
        <f t="shared" si="23"/>
        <v/>
      </c>
      <c r="H114" s="83" t="str">
        <f t="shared" si="24"/>
        <v/>
      </c>
      <c r="I114" s="83" t="str">
        <f t="shared" si="25"/>
        <v/>
      </c>
    </row>
    <row r="115" spans="2:9">
      <c r="B115" s="87" t="str">
        <f t="shared" si="26"/>
        <v/>
      </c>
      <c r="C115" s="109" t="str">
        <f t="shared" si="20"/>
        <v/>
      </c>
      <c r="D115" s="110" t="str">
        <f t="shared" si="21"/>
        <v/>
      </c>
      <c r="E115" s="109" t="str">
        <f t="shared" si="22"/>
        <v/>
      </c>
      <c r="F115" s="109" t="str">
        <f>IF(B115&lt;=$B$5*$B$6,SUM($E$18:E115),"")</f>
        <v/>
      </c>
      <c r="G115" s="109" t="str">
        <f t="shared" si="23"/>
        <v/>
      </c>
      <c r="H115" s="83" t="str">
        <f t="shared" si="24"/>
        <v/>
      </c>
      <c r="I115" s="83" t="str">
        <f t="shared" si="25"/>
        <v/>
      </c>
    </row>
    <row r="116" spans="2:9">
      <c r="B116" s="87" t="str">
        <f t="shared" si="26"/>
        <v/>
      </c>
      <c r="C116" s="109" t="str">
        <f t="shared" si="20"/>
        <v/>
      </c>
      <c r="D116" s="110" t="str">
        <f t="shared" si="21"/>
        <v/>
      </c>
      <c r="E116" s="109" t="str">
        <f t="shared" si="22"/>
        <v/>
      </c>
      <c r="F116" s="109" t="str">
        <f>IF(B116&lt;=$B$5*$B$6,SUM($E$18:E116),"")</f>
        <v/>
      </c>
      <c r="G116" s="109" t="str">
        <f t="shared" si="23"/>
        <v/>
      </c>
      <c r="H116" s="83" t="str">
        <f t="shared" si="24"/>
        <v/>
      </c>
      <c r="I116" s="83" t="str">
        <f t="shared" si="25"/>
        <v/>
      </c>
    </row>
    <row r="117" spans="2:9">
      <c r="B117" s="87" t="str">
        <f t="shared" si="26"/>
        <v/>
      </c>
      <c r="C117" s="109" t="str">
        <f t="shared" si="20"/>
        <v/>
      </c>
      <c r="D117" s="110" t="str">
        <f t="shared" si="21"/>
        <v/>
      </c>
      <c r="E117" s="109" t="str">
        <f t="shared" si="22"/>
        <v/>
      </c>
      <c r="F117" s="109" t="str">
        <f>IF(B117&lt;=$B$5*$B$6,SUM($E$18:E117),"")</f>
        <v/>
      </c>
      <c r="G117" s="109" t="str">
        <f t="shared" si="23"/>
        <v/>
      </c>
      <c r="H117" s="83" t="str">
        <f t="shared" si="24"/>
        <v/>
      </c>
      <c r="I117" s="83" t="str">
        <f t="shared" si="25"/>
        <v/>
      </c>
    </row>
    <row r="118" spans="2:9">
      <c r="B118" s="87" t="str">
        <f t="shared" si="26"/>
        <v/>
      </c>
      <c r="C118" s="109" t="str">
        <f t="shared" si="20"/>
        <v/>
      </c>
      <c r="D118" s="110" t="str">
        <f t="shared" si="21"/>
        <v/>
      </c>
      <c r="E118" s="109" t="str">
        <f t="shared" si="22"/>
        <v/>
      </c>
      <c r="F118" s="109" t="str">
        <f>IF(B118&lt;=$B$5*$B$6,SUM($E$18:E118),"")</f>
        <v/>
      </c>
      <c r="G118" s="109" t="str">
        <f t="shared" si="23"/>
        <v/>
      </c>
      <c r="H118" s="83" t="str">
        <f t="shared" si="24"/>
        <v/>
      </c>
      <c r="I118" s="83" t="str">
        <f t="shared" si="25"/>
        <v/>
      </c>
    </row>
    <row r="119" spans="2:9">
      <c r="B119" s="87" t="str">
        <f t="shared" si="26"/>
        <v/>
      </c>
      <c r="C119" s="109" t="str">
        <f t="shared" si="20"/>
        <v/>
      </c>
      <c r="D119" s="110" t="str">
        <f t="shared" si="21"/>
        <v/>
      </c>
      <c r="E119" s="109" t="str">
        <f t="shared" si="22"/>
        <v/>
      </c>
      <c r="F119" s="109" t="str">
        <f>IF(B119&lt;=$B$5*$B$6,SUM($E$18:E119),"")</f>
        <v/>
      </c>
      <c r="G119" s="109" t="str">
        <f t="shared" si="23"/>
        <v/>
      </c>
      <c r="H119" s="83" t="str">
        <f t="shared" si="24"/>
        <v/>
      </c>
      <c r="I119" s="83" t="str">
        <f t="shared" si="25"/>
        <v/>
      </c>
    </row>
    <row r="120" spans="2:9">
      <c r="B120" s="87" t="str">
        <f t="shared" si="26"/>
        <v/>
      </c>
      <c r="C120" s="109" t="str">
        <f t="shared" si="20"/>
        <v/>
      </c>
      <c r="D120" s="110" t="str">
        <f t="shared" si="21"/>
        <v/>
      </c>
      <c r="E120" s="109" t="str">
        <f t="shared" si="22"/>
        <v/>
      </c>
      <c r="F120" s="109" t="str">
        <f>IF(B120&lt;=$B$5*$B$6,SUM($E$18:E120),"")</f>
        <v/>
      </c>
      <c r="G120" s="109" t="str">
        <f t="shared" si="23"/>
        <v/>
      </c>
      <c r="H120" s="83" t="str">
        <f t="shared" si="24"/>
        <v/>
      </c>
      <c r="I120" s="83" t="str">
        <f t="shared" si="25"/>
        <v/>
      </c>
    </row>
    <row r="121" spans="2:9">
      <c r="B121" s="87" t="str">
        <f t="shared" si="26"/>
        <v/>
      </c>
      <c r="C121" s="109" t="str">
        <f t="shared" si="20"/>
        <v/>
      </c>
      <c r="D121" s="110" t="str">
        <f t="shared" si="21"/>
        <v/>
      </c>
      <c r="E121" s="109" t="str">
        <f t="shared" si="22"/>
        <v/>
      </c>
      <c r="F121" s="109" t="str">
        <f>IF(B121&lt;=$B$5*$B$6,SUM($E$18:E121),"")</f>
        <v/>
      </c>
      <c r="G121" s="109" t="str">
        <f t="shared" si="23"/>
        <v/>
      </c>
      <c r="H121" s="83" t="str">
        <f t="shared" si="24"/>
        <v/>
      </c>
      <c r="I121" s="83" t="str">
        <f t="shared" si="25"/>
        <v/>
      </c>
    </row>
    <row r="122" spans="2:9">
      <c r="B122" s="87" t="str">
        <f t="shared" si="26"/>
        <v/>
      </c>
      <c r="C122" s="109" t="str">
        <f t="shared" si="20"/>
        <v/>
      </c>
      <c r="D122" s="110" t="str">
        <f t="shared" si="21"/>
        <v/>
      </c>
      <c r="E122" s="109" t="str">
        <f t="shared" si="22"/>
        <v/>
      </c>
      <c r="F122" s="109" t="str">
        <f>IF(B122&lt;=$B$5*$B$6,SUM($E$18:E122),"")</f>
        <v/>
      </c>
      <c r="G122" s="109" t="str">
        <f t="shared" si="23"/>
        <v/>
      </c>
      <c r="H122" s="83" t="str">
        <f t="shared" si="24"/>
        <v/>
      </c>
      <c r="I122" s="83" t="str">
        <f t="shared" si="25"/>
        <v/>
      </c>
    </row>
    <row r="123" spans="2:9">
      <c r="B123" s="87" t="str">
        <f t="shared" si="26"/>
        <v/>
      </c>
      <c r="C123" s="109" t="str">
        <f t="shared" si="20"/>
        <v/>
      </c>
      <c r="D123" s="110" t="str">
        <f t="shared" si="21"/>
        <v/>
      </c>
      <c r="E123" s="109" t="str">
        <f t="shared" si="22"/>
        <v/>
      </c>
      <c r="F123" s="109" t="str">
        <f>IF(B123&lt;=$B$5*$B$6,SUM($E$18:E123),"")</f>
        <v/>
      </c>
      <c r="G123" s="109" t="str">
        <f t="shared" si="23"/>
        <v/>
      </c>
      <c r="H123" s="83" t="str">
        <f t="shared" si="24"/>
        <v/>
      </c>
      <c r="I123" s="83" t="str">
        <f t="shared" si="25"/>
        <v/>
      </c>
    </row>
    <row r="124" spans="2:9">
      <c r="B124" s="87" t="str">
        <f t="shared" si="26"/>
        <v/>
      </c>
      <c r="C124" s="109" t="str">
        <f t="shared" si="20"/>
        <v/>
      </c>
      <c r="D124" s="110" t="str">
        <f t="shared" si="21"/>
        <v/>
      </c>
      <c r="E124" s="109" t="str">
        <f t="shared" si="22"/>
        <v/>
      </c>
      <c r="F124" s="109" t="str">
        <f>IF(B124&lt;=$B$5*$B$6,SUM($E$18:E124),"")</f>
        <v/>
      </c>
      <c r="G124" s="109" t="str">
        <f t="shared" si="23"/>
        <v/>
      </c>
      <c r="H124" s="83" t="str">
        <f t="shared" si="24"/>
        <v/>
      </c>
      <c r="I124" s="83" t="str">
        <f t="shared" si="25"/>
        <v/>
      </c>
    </row>
    <row r="125" spans="2:9">
      <c r="B125" s="87" t="str">
        <f t="shared" si="26"/>
        <v/>
      </c>
      <c r="C125" s="109" t="str">
        <f t="shared" si="20"/>
        <v/>
      </c>
      <c r="D125" s="110" t="str">
        <f t="shared" si="21"/>
        <v/>
      </c>
      <c r="E125" s="109" t="str">
        <f t="shared" si="22"/>
        <v/>
      </c>
      <c r="F125" s="109" t="str">
        <f>IF(B125&lt;=$B$5*$B$6,SUM($E$18:E125),"")</f>
        <v/>
      </c>
      <c r="G125" s="109" t="str">
        <f t="shared" si="23"/>
        <v/>
      </c>
      <c r="H125" s="83" t="str">
        <f t="shared" si="24"/>
        <v/>
      </c>
      <c r="I125" s="83" t="str">
        <f t="shared" si="25"/>
        <v/>
      </c>
    </row>
    <row r="126" spans="2:9">
      <c r="B126" s="87" t="str">
        <f t="shared" si="26"/>
        <v/>
      </c>
      <c r="C126" s="109" t="str">
        <f t="shared" si="20"/>
        <v/>
      </c>
      <c r="D126" s="110" t="str">
        <f t="shared" si="21"/>
        <v/>
      </c>
      <c r="E126" s="109" t="str">
        <f t="shared" si="22"/>
        <v/>
      </c>
      <c r="F126" s="109" t="str">
        <f>IF(B126&lt;=$B$5*$B$6,SUM($E$18:E126),"")</f>
        <v/>
      </c>
      <c r="G126" s="109" t="str">
        <f t="shared" si="23"/>
        <v/>
      </c>
      <c r="H126" s="83" t="str">
        <f t="shared" si="24"/>
        <v/>
      </c>
      <c r="I126" s="83" t="str">
        <f t="shared" si="25"/>
        <v/>
      </c>
    </row>
    <row r="127" spans="2:9">
      <c r="B127" s="87" t="str">
        <f t="shared" si="26"/>
        <v/>
      </c>
      <c r="C127" s="109" t="str">
        <f t="shared" si="20"/>
        <v/>
      </c>
      <c r="D127" s="110" t="str">
        <f t="shared" si="21"/>
        <v/>
      </c>
      <c r="E127" s="109" t="str">
        <f t="shared" si="22"/>
        <v/>
      </c>
      <c r="F127" s="109" t="str">
        <f>IF(B127&lt;=$B$5*$B$6,SUM($E$18:E127),"")</f>
        <v/>
      </c>
      <c r="G127" s="109" t="str">
        <f t="shared" si="23"/>
        <v/>
      </c>
      <c r="H127" s="83" t="str">
        <f t="shared" si="24"/>
        <v/>
      </c>
      <c r="I127" s="83" t="str">
        <f t="shared" si="25"/>
        <v/>
      </c>
    </row>
    <row r="128" spans="2:9">
      <c r="B128" s="87" t="str">
        <f t="shared" si="26"/>
        <v/>
      </c>
      <c r="C128" s="109" t="str">
        <f t="shared" si="20"/>
        <v/>
      </c>
      <c r="D128" s="110" t="str">
        <f t="shared" si="21"/>
        <v/>
      </c>
      <c r="E128" s="109" t="str">
        <f t="shared" si="22"/>
        <v/>
      </c>
      <c r="F128" s="109" t="str">
        <f>IF(B128&lt;=$B$5*$B$6,SUM($E$18:E128),"")</f>
        <v/>
      </c>
      <c r="G128" s="109" t="str">
        <f t="shared" si="23"/>
        <v/>
      </c>
      <c r="H128" s="83" t="str">
        <f t="shared" si="24"/>
        <v/>
      </c>
      <c r="I128" s="83" t="str">
        <f t="shared" si="25"/>
        <v/>
      </c>
    </row>
    <row r="129" spans="2:9">
      <c r="B129" s="87" t="str">
        <f t="shared" si="26"/>
        <v/>
      </c>
      <c r="C129" s="109" t="str">
        <f t="shared" si="20"/>
        <v/>
      </c>
      <c r="D129" s="110" t="str">
        <f t="shared" si="21"/>
        <v/>
      </c>
      <c r="E129" s="109" t="str">
        <f t="shared" si="22"/>
        <v/>
      </c>
      <c r="F129" s="109" t="str">
        <f>IF(B129&lt;=$B$5*$B$6,SUM($E$18:E129),"")</f>
        <v/>
      </c>
      <c r="G129" s="109" t="str">
        <f t="shared" si="23"/>
        <v/>
      </c>
      <c r="H129" s="83" t="str">
        <f t="shared" si="24"/>
        <v/>
      </c>
      <c r="I129" s="83" t="str">
        <f t="shared" si="25"/>
        <v/>
      </c>
    </row>
    <row r="130" spans="2:9">
      <c r="B130" s="87" t="str">
        <f t="shared" si="26"/>
        <v/>
      </c>
      <c r="C130" s="109" t="str">
        <f t="shared" si="20"/>
        <v/>
      </c>
      <c r="D130" s="110" t="str">
        <f t="shared" si="21"/>
        <v/>
      </c>
      <c r="E130" s="109" t="str">
        <f t="shared" si="22"/>
        <v/>
      </c>
      <c r="F130" s="109" t="str">
        <f>IF(B130&lt;=$B$5*$B$6,SUM($E$18:E130),"")</f>
        <v/>
      </c>
      <c r="G130" s="109" t="str">
        <f t="shared" si="23"/>
        <v/>
      </c>
      <c r="H130" s="83" t="str">
        <f t="shared" si="24"/>
        <v/>
      </c>
      <c r="I130" s="83" t="str">
        <f t="shared" si="25"/>
        <v/>
      </c>
    </row>
    <row r="131" spans="2:9">
      <c r="B131" s="87" t="str">
        <f t="shared" si="26"/>
        <v/>
      </c>
      <c r="C131" s="109" t="str">
        <f t="shared" si="20"/>
        <v/>
      </c>
      <c r="D131" s="110" t="str">
        <f t="shared" si="21"/>
        <v/>
      </c>
      <c r="E131" s="109" t="str">
        <f t="shared" si="22"/>
        <v/>
      </c>
      <c r="F131" s="109" t="str">
        <f>IF(B131&lt;=$B$5*$B$6,SUM($E$18:E131),"")</f>
        <v/>
      </c>
      <c r="G131" s="109" t="str">
        <f t="shared" si="23"/>
        <v/>
      </c>
      <c r="H131" s="83" t="str">
        <f t="shared" si="24"/>
        <v/>
      </c>
      <c r="I131" s="83" t="str">
        <f t="shared" si="25"/>
        <v/>
      </c>
    </row>
    <row r="132" spans="2:9">
      <c r="B132" s="87" t="str">
        <f t="shared" si="26"/>
        <v/>
      </c>
      <c r="C132" s="109" t="str">
        <f t="shared" si="20"/>
        <v/>
      </c>
      <c r="D132" s="110" t="str">
        <f t="shared" si="21"/>
        <v/>
      </c>
      <c r="E132" s="109" t="str">
        <f t="shared" si="22"/>
        <v/>
      </c>
      <c r="F132" s="109" t="str">
        <f>IF(B132&lt;=$B$5*$B$6,SUM($E$18:E132),"")</f>
        <v/>
      </c>
      <c r="G132" s="109" t="str">
        <f t="shared" si="23"/>
        <v/>
      </c>
      <c r="H132" s="83" t="str">
        <f t="shared" si="24"/>
        <v/>
      </c>
      <c r="I132" s="83" t="str">
        <f t="shared" si="25"/>
        <v/>
      </c>
    </row>
    <row r="133" spans="2:9">
      <c r="B133" s="87" t="str">
        <f t="shared" si="26"/>
        <v/>
      </c>
      <c r="C133" s="109" t="str">
        <f t="shared" si="20"/>
        <v/>
      </c>
      <c r="D133" s="110" t="str">
        <f t="shared" si="21"/>
        <v/>
      </c>
      <c r="E133" s="109" t="str">
        <f t="shared" si="22"/>
        <v/>
      </c>
      <c r="F133" s="109" t="str">
        <f>IF(B133&lt;=$B$5*$B$6,SUM($E$18:E133),"")</f>
        <v/>
      </c>
      <c r="G133" s="109" t="str">
        <f t="shared" si="23"/>
        <v/>
      </c>
      <c r="H133" s="83" t="str">
        <f t="shared" si="24"/>
        <v/>
      </c>
      <c r="I133" s="83" t="str">
        <f t="shared" si="25"/>
        <v/>
      </c>
    </row>
    <row r="134" spans="2:9">
      <c r="B134" s="87" t="str">
        <f t="shared" si="26"/>
        <v/>
      </c>
      <c r="C134" s="109" t="str">
        <f t="shared" si="20"/>
        <v/>
      </c>
      <c r="D134" s="110" t="str">
        <f t="shared" si="21"/>
        <v/>
      </c>
      <c r="E134" s="109" t="str">
        <f t="shared" si="22"/>
        <v/>
      </c>
      <c r="F134" s="109" t="str">
        <f>IF(B134&lt;=$B$5*$B$6,SUM($E$18:E134),"")</f>
        <v/>
      </c>
      <c r="G134" s="109" t="str">
        <f t="shared" si="23"/>
        <v/>
      </c>
      <c r="H134" s="83" t="str">
        <f t="shared" si="24"/>
        <v/>
      </c>
      <c r="I134" s="83" t="str">
        <f t="shared" si="25"/>
        <v/>
      </c>
    </row>
    <row r="135" spans="2:9">
      <c r="B135" s="87" t="str">
        <f t="shared" si="26"/>
        <v/>
      </c>
      <c r="C135" s="109" t="str">
        <f t="shared" si="20"/>
        <v/>
      </c>
      <c r="D135" s="110" t="str">
        <f t="shared" si="21"/>
        <v/>
      </c>
      <c r="E135" s="109" t="str">
        <f t="shared" si="22"/>
        <v/>
      </c>
      <c r="F135" s="109" t="str">
        <f>IF(B135&lt;=$B$5*$B$6,SUM($E$18:E135),"")</f>
        <v/>
      </c>
      <c r="G135" s="109" t="str">
        <f t="shared" si="23"/>
        <v/>
      </c>
      <c r="H135" s="83" t="str">
        <f t="shared" si="24"/>
        <v/>
      </c>
      <c r="I135" s="83" t="str">
        <f t="shared" si="25"/>
        <v/>
      </c>
    </row>
    <row r="136" spans="2:9">
      <c r="B136" s="87" t="str">
        <f t="shared" si="26"/>
        <v/>
      </c>
      <c r="C136" s="109" t="str">
        <f t="shared" si="20"/>
        <v/>
      </c>
      <c r="D136" s="110" t="str">
        <f t="shared" si="21"/>
        <v/>
      </c>
      <c r="E136" s="109" t="str">
        <f t="shared" si="22"/>
        <v/>
      </c>
      <c r="F136" s="109" t="str">
        <f>IF(B136&lt;=$B$5*$B$6,SUM($E$18:E136),"")</f>
        <v/>
      </c>
      <c r="G136" s="109" t="str">
        <f t="shared" si="23"/>
        <v/>
      </c>
      <c r="H136" s="83" t="str">
        <f t="shared" si="24"/>
        <v/>
      </c>
      <c r="I136" s="83" t="str">
        <f t="shared" si="25"/>
        <v/>
      </c>
    </row>
    <row r="137" spans="2:9">
      <c r="B137" s="87" t="str">
        <f t="shared" si="26"/>
        <v/>
      </c>
      <c r="C137" s="109" t="str">
        <f t="shared" si="20"/>
        <v/>
      </c>
      <c r="D137" s="110" t="str">
        <f t="shared" si="21"/>
        <v/>
      </c>
      <c r="E137" s="109" t="str">
        <f t="shared" si="22"/>
        <v/>
      </c>
      <c r="F137" s="109" t="str">
        <f>IF(B137&lt;=$B$5*$B$6,SUM($E$18:E137),"")</f>
        <v/>
      </c>
      <c r="G137" s="109" t="str">
        <f t="shared" si="23"/>
        <v/>
      </c>
      <c r="H137" s="83" t="str">
        <f t="shared" si="24"/>
        <v/>
      </c>
      <c r="I137" s="83" t="str">
        <f t="shared" si="25"/>
        <v/>
      </c>
    </row>
    <row r="138" spans="2:9">
      <c r="B138" s="87" t="str">
        <f t="shared" si="26"/>
        <v/>
      </c>
      <c r="C138" s="109" t="str">
        <f t="shared" ref="C138:C153" si="27">IF(B138&lt;=$B$5*$B$6,-PMT($B$4/$B$6,$B$5*$B$6,$B$3,,$C$12),"")</f>
        <v/>
      </c>
      <c r="D138" s="110" t="str">
        <f t="shared" ref="D138:D153" si="28">IF(B138&lt;=$B$5*$B$6,-IPMT($B$4/$B$6,B138,$B$5*$B$6,$B$3,,$C$12),"")</f>
        <v/>
      </c>
      <c r="E138" s="109" t="str">
        <f t="shared" ref="E138:E153" si="29">IF(B138&lt;=$B$5*$B$6,-PPMT($B$4/$B$6,B138,$B$5*$B$6,$B$3,,$C$12),"")</f>
        <v/>
      </c>
      <c r="F138" s="109" t="str">
        <f>IF(B138&lt;=$B$5*$B$6,SUM($E$18:E138),"")</f>
        <v/>
      </c>
      <c r="G138" s="109" t="str">
        <f t="shared" ref="G138:G153" si="30">IF(B138&lt;=$B$5*$B$6,$B$3-F138,"")</f>
        <v/>
      </c>
      <c r="H138" s="83" t="str">
        <f t="shared" si="24"/>
        <v/>
      </c>
      <c r="I138" s="83" t="str">
        <f t="shared" si="25"/>
        <v/>
      </c>
    </row>
    <row r="139" spans="2:9">
      <c r="B139" s="87" t="str">
        <f t="shared" si="26"/>
        <v/>
      </c>
      <c r="C139" s="109" t="str">
        <f t="shared" si="27"/>
        <v/>
      </c>
      <c r="D139" s="110" t="str">
        <f t="shared" si="28"/>
        <v/>
      </c>
      <c r="E139" s="109" t="str">
        <f t="shared" si="29"/>
        <v/>
      </c>
      <c r="F139" s="109" t="str">
        <f>IF(B139&lt;=$B$5*$B$6,SUM($E$18:E139),"")</f>
        <v/>
      </c>
      <c r="G139" s="109" t="str">
        <f t="shared" si="30"/>
        <v/>
      </c>
      <c r="H139" s="83" t="str">
        <f t="shared" si="24"/>
        <v/>
      </c>
      <c r="I139" s="83" t="str">
        <f t="shared" si="25"/>
        <v/>
      </c>
    </row>
    <row r="140" spans="2:9">
      <c r="B140" s="87" t="str">
        <f t="shared" si="26"/>
        <v/>
      </c>
      <c r="C140" s="109" t="str">
        <f t="shared" si="27"/>
        <v/>
      </c>
      <c r="D140" s="110" t="str">
        <f t="shared" si="28"/>
        <v/>
      </c>
      <c r="E140" s="109" t="str">
        <f t="shared" si="29"/>
        <v/>
      </c>
      <c r="F140" s="109" t="str">
        <f>IF(B140&lt;=$B$5*$B$6,SUM($E$18:E140),"")</f>
        <v/>
      </c>
      <c r="G140" s="109" t="str">
        <f t="shared" si="30"/>
        <v/>
      </c>
      <c r="H140" s="83" t="str">
        <f t="shared" si="24"/>
        <v/>
      </c>
      <c r="I140" s="83" t="str">
        <f t="shared" si="25"/>
        <v/>
      </c>
    </row>
    <row r="141" spans="2:9">
      <c r="B141" s="87" t="str">
        <f t="shared" si="26"/>
        <v/>
      </c>
      <c r="C141" s="109" t="str">
        <f t="shared" si="27"/>
        <v/>
      </c>
      <c r="D141" s="110" t="str">
        <f t="shared" si="28"/>
        <v/>
      </c>
      <c r="E141" s="109" t="str">
        <f t="shared" si="29"/>
        <v/>
      </c>
      <c r="F141" s="109" t="str">
        <f>IF(B141&lt;=$B$5*$B$6,SUM($E$18:E141),"")</f>
        <v/>
      </c>
      <c r="G141" s="109" t="str">
        <f t="shared" si="30"/>
        <v/>
      </c>
      <c r="H141" s="83" t="str">
        <f t="shared" si="24"/>
        <v/>
      </c>
      <c r="I141" s="83" t="str">
        <f t="shared" si="25"/>
        <v/>
      </c>
    </row>
    <row r="142" spans="2:9">
      <c r="B142" s="87" t="str">
        <f t="shared" si="26"/>
        <v/>
      </c>
      <c r="C142" s="109" t="str">
        <f t="shared" si="27"/>
        <v/>
      </c>
      <c r="D142" s="110" t="str">
        <f t="shared" si="28"/>
        <v/>
      </c>
      <c r="E142" s="109" t="str">
        <f t="shared" si="29"/>
        <v/>
      </c>
      <c r="F142" s="109" t="str">
        <f>IF(B142&lt;=$B$5*$B$6,SUM($E$18:E142),"")</f>
        <v/>
      </c>
      <c r="G142" s="109" t="str">
        <f t="shared" si="30"/>
        <v/>
      </c>
      <c r="H142" s="83" t="str">
        <f t="shared" si="24"/>
        <v/>
      </c>
      <c r="I142" s="83" t="str">
        <f t="shared" si="25"/>
        <v/>
      </c>
    </row>
    <row r="143" spans="2:9">
      <c r="B143" s="87" t="str">
        <f t="shared" si="26"/>
        <v/>
      </c>
      <c r="C143" s="109" t="str">
        <f t="shared" si="27"/>
        <v/>
      </c>
      <c r="D143" s="110" t="str">
        <f t="shared" si="28"/>
        <v/>
      </c>
      <c r="E143" s="109" t="str">
        <f t="shared" si="29"/>
        <v/>
      </c>
      <c r="F143" s="109" t="str">
        <f>IF(B143&lt;=$B$5*$B$6,SUM($E$18:E143),"")</f>
        <v/>
      </c>
      <c r="G143" s="109" t="str">
        <f t="shared" si="30"/>
        <v/>
      </c>
      <c r="H143" s="83" t="str">
        <f t="shared" si="24"/>
        <v/>
      </c>
      <c r="I143" s="83" t="str">
        <f t="shared" si="25"/>
        <v/>
      </c>
    </row>
    <row r="144" spans="2:9">
      <c r="B144" s="87" t="str">
        <f t="shared" si="26"/>
        <v/>
      </c>
      <c r="C144" s="109" t="str">
        <f t="shared" si="27"/>
        <v/>
      </c>
      <c r="D144" s="110" t="str">
        <f t="shared" si="28"/>
        <v/>
      </c>
      <c r="E144" s="109" t="str">
        <f t="shared" si="29"/>
        <v/>
      </c>
      <c r="F144" s="109" t="str">
        <f>IF(B144&lt;=$B$5*$B$6,SUM($E$18:E144),"")</f>
        <v/>
      </c>
      <c r="G144" s="109" t="str">
        <f t="shared" si="30"/>
        <v/>
      </c>
      <c r="H144" s="83" t="str">
        <f t="shared" si="24"/>
        <v/>
      </c>
      <c r="I144" s="83" t="str">
        <f t="shared" si="25"/>
        <v/>
      </c>
    </row>
    <row r="145" spans="2:9">
      <c r="B145" s="87" t="str">
        <f t="shared" si="26"/>
        <v/>
      </c>
      <c r="C145" s="109" t="str">
        <f t="shared" si="27"/>
        <v/>
      </c>
      <c r="D145" s="110" t="str">
        <f t="shared" si="28"/>
        <v/>
      </c>
      <c r="E145" s="109" t="str">
        <f t="shared" si="29"/>
        <v/>
      </c>
      <c r="F145" s="109" t="str">
        <f>IF(B145&lt;=$B$5*$B$6,SUM($E$18:E145),"")</f>
        <v/>
      </c>
      <c r="G145" s="109" t="str">
        <f t="shared" si="30"/>
        <v/>
      </c>
      <c r="H145" s="83" t="str">
        <f t="shared" si="24"/>
        <v/>
      </c>
      <c r="I145" s="83" t="str">
        <f t="shared" si="25"/>
        <v/>
      </c>
    </row>
    <row r="146" spans="2:9">
      <c r="B146" s="87" t="str">
        <f t="shared" ref="B146:B153" si="31">IF(B145&lt;$B$5*$B$6,B145+1,"")</f>
        <v/>
      </c>
      <c r="C146" s="109" t="str">
        <f t="shared" si="27"/>
        <v/>
      </c>
      <c r="D146" s="110" t="str">
        <f t="shared" si="28"/>
        <v/>
      </c>
      <c r="E146" s="109" t="str">
        <f t="shared" si="29"/>
        <v/>
      </c>
      <c r="F146" s="109" t="str">
        <f>IF(B146&lt;=$B$5*$B$6,SUM($E$18:E146),"")</f>
        <v/>
      </c>
      <c r="G146" s="109" t="str">
        <f t="shared" si="30"/>
        <v/>
      </c>
      <c r="H146" s="83" t="str">
        <f t="shared" si="24"/>
        <v/>
      </c>
      <c r="I146" s="83" t="str">
        <f t="shared" si="25"/>
        <v/>
      </c>
    </row>
    <row r="147" spans="2:9">
      <c r="B147" s="87" t="str">
        <f t="shared" si="31"/>
        <v/>
      </c>
      <c r="C147" s="109" t="str">
        <f t="shared" si="27"/>
        <v/>
      </c>
      <c r="D147" s="110" t="str">
        <f t="shared" si="28"/>
        <v/>
      </c>
      <c r="E147" s="109" t="str">
        <f t="shared" si="29"/>
        <v/>
      </c>
      <c r="F147" s="109" t="str">
        <f>IF(B147&lt;=$B$5*$B$6,SUM($E$18:E147),"")</f>
        <v/>
      </c>
      <c r="G147" s="109" t="str">
        <f t="shared" si="30"/>
        <v/>
      </c>
      <c r="H147" s="83" t="str">
        <f t="shared" si="24"/>
        <v/>
      </c>
      <c r="I147" s="83" t="str">
        <f t="shared" si="25"/>
        <v/>
      </c>
    </row>
    <row r="148" spans="2:9">
      <c r="B148" s="87" t="str">
        <f t="shared" si="31"/>
        <v/>
      </c>
      <c r="C148" s="109" t="str">
        <f t="shared" si="27"/>
        <v/>
      </c>
      <c r="D148" s="110" t="str">
        <f t="shared" si="28"/>
        <v/>
      </c>
      <c r="E148" s="109" t="str">
        <f t="shared" si="29"/>
        <v/>
      </c>
      <c r="F148" s="109" t="str">
        <f>IF(B148&lt;=$B$5*$B$6,SUM($E$18:E148),"")</f>
        <v/>
      </c>
      <c r="G148" s="109" t="str">
        <f t="shared" si="30"/>
        <v/>
      </c>
      <c r="H148" s="83" t="str">
        <f t="shared" si="24"/>
        <v/>
      </c>
      <c r="I148" s="83" t="str">
        <f t="shared" si="25"/>
        <v/>
      </c>
    </row>
    <row r="149" spans="2:9">
      <c r="B149" s="87" t="str">
        <f t="shared" si="31"/>
        <v/>
      </c>
      <c r="C149" s="109" t="str">
        <f t="shared" si="27"/>
        <v/>
      </c>
      <c r="D149" s="110" t="str">
        <f t="shared" si="28"/>
        <v/>
      </c>
      <c r="E149" s="109" t="str">
        <f t="shared" si="29"/>
        <v/>
      </c>
      <c r="F149" s="109" t="str">
        <f>IF(B149&lt;=$B$5*$B$6,SUM($E$18:E149),"")</f>
        <v/>
      </c>
      <c r="G149" s="109" t="str">
        <f t="shared" si="30"/>
        <v/>
      </c>
      <c r="H149" s="83" t="str">
        <f t="shared" si="24"/>
        <v/>
      </c>
      <c r="I149" s="83" t="str">
        <f t="shared" si="25"/>
        <v/>
      </c>
    </row>
    <row r="150" spans="2:9">
      <c r="B150" s="87" t="str">
        <f t="shared" si="31"/>
        <v/>
      </c>
      <c r="C150" s="109" t="str">
        <f t="shared" si="27"/>
        <v/>
      </c>
      <c r="D150" s="110" t="str">
        <f t="shared" si="28"/>
        <v/>
      </c>
      <c r="E150" s="109" t="str">
        <f t="shared" si="29"/>
        <v/>
      </c>
      <c r="F150" s="109" t="str">
        <f>IF(B150&lt;=$B$5*$B$6,SUM($E$18:E150),"")</f>
        <v/>
      </c>
      <c r="G150" s="109" t="str">
        <f t="shared" si="30"/>
        <v/>
      </c>
      <c r="H150" s="83" t="str">
        <f t="shared" si="24"/>
        <v/>
      </c>
      <c r="I150" s="83" t="str">
        <f t="shared" si="25"/>
        <v/>
      </c>
    </row>
    <row r="151" spans="2:9">
      <c r="B151" s="87" t="str">
        <f t="shared" si="31"/>
        <v/>
      </c>
      <c r="C151" s="109" t="str">
        <f t="shared" si="27"/>
        <v/>
      </c>
      <c r="D151" s="110" t="str">
        <f t="shared" si="28"/>
        <v/>
      </c>
      <c r="E151" s="109" t="str">
        <f t="shared" si="29"/>
        <v/>
      </c>
      <c r="F151" s="109" t="str">
        <f>IF(B151&lt;=$B$5*$B$6,SUM($E$18:E151),"")</f>
        <v/>
      </c>
      <c r="G151" s="109" t="str">
        <f t="shared" si="30"/>
        <v/>
      </c>
      <c r="H151" s="83" t="str">
        <f t="shared" si="24"/>
        <v/>
      </c>
      <c r="I151" s="83" t="str">
        <f t="shared" si="25"/>
        <v/>
      </c>
    </row>
    <row r="152" spans="2:9">
      <c r="B152" s="87" t="str">
        <f t="shared" si="31"/>
        <v/>
      </c>
      <c r="C152" s="109" t="str">
        <f t="shared" si="27"/>
        <v/>
      </c>
      <c r="D152" s="110" t="str">
        <f t="shared" si="28"/>
        <v/>
      </c>
      <c r="E152" s="109" t="str">
        <f t="shared" si="29"/>
        <v/>
      </c>
      <c r="F152" s="109" t="str">
        <f>IF(B152&lt;=$B$5*$B$6,SUM($E$18:E152),"")</f>
        <v/>
      </c>
      <c r="G152" s="109" t="str">
        <f t="shared" si="30"/>
        <v/>
      </c>
      <c r="H152" s="83" t="str">
        <f t="shared" si="24"/>
        <v/>
      </c>
      <c r="I152" s="83" t="str">
        <f t="shared" si="25"/>
        <v/>
      </c>
    </row>
    <row r="153" spans="2:9">
      <c r="B153" s="87" t="str">
        <f t="shared" si="31"/>
        <v/>
      </c>
      <c r="C153" s="109" t="str">
        <f t="shared" si="27"/>
        <v/>
      </c>
      <c r="D153" s="110" t="str">
        <f t="shared" si="28"/>
        <v/>
      </c>
      <c r="E153" s="109" t="str">
        <f t="shared" si="29"/>
        <v/>
      </c>
      <c r="F153" s="109" t="str">
        <f>IF(B153&lt;=$B$5*$B$6,SUM($E$18:E153),"")</f>
        <v/>
      </c>
      <c r="G153" s="109" t="str">
        <f t="shared" si="30"/>
        <v/>
      </c>
      <c r="H153" s="83" t="str">
        <f t="shared" si="24"/>
        <v/>
      </c>
      <c r="I153" s="83" t="str">
        <f t="shared" si="25"/>
        <v/>
      </c>
    </row>
  </sheetData>
  <mergeCells count="6">
    <mergeCell ref="B1:I1"/>
    <mergeCell ref="B3:C3"/>
    <mergeCell ref="B4:C4"/>
    <mergeCell ref="B5:C5"/>
    <mergeCell ref="B6:C6"/>
    <mergeCell ref="A2:C2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291512c1ee715ab617f4c07df79fc1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8256c27c40ca5c40ce1cf6c44f0205df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03018-CA5E-4F22-A8C9-B1F180E48C81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71af3243-3dd4-4a8d-8c0d-dd76da1f02a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06E129-2DFD-4AB0-8A71-37D61F42C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D9683-B76D-40D7-92ED-C8C7DCAE48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DATOS</vt:lpstr>
      <vt:lpstr>Gastos</vt:lpstr>
      <vt:lpstr>Información general de Startup</vt:lpstr>
      <vt:lpstr>Beneficios y pérdidas</vt:lpstr>
      <vt:lpstr>amort</vt:lpstr>
      <vt:lpstr>Gastos!Print_Titles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2019-03-20T16:49:33Z</dcterms:created>
  <dcterms:modified xsi:type="dcterms:W3CDTF">2025-07-29T15:27:30Z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